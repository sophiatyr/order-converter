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2bacd23d2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廠裝箱明細" sheetId="1" r:id="R058b95a1188c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"/>
  </x:numFmts>
  <x:fonts count="5">
    <x:font>
      <x:sz val="11"/>
      <x:name val="Carlito"/>
    </x:font>
    <x:font>
      <x:b/>
      <x:sz val="18"/>
      <x:color rgb="FFFFFFFF"/>
      <x:name val="Aptos"/>
    </x:font>
    <x:font>
      <x:sz val="11"/>
      <x:name val="Aptos"/>
    </x:font>
    <x:font>
      <x:sz val="10"/>
      <x:name val="Aptos"/>
    </x:font>
    <x:font>
      <x:b/>
      <x:sz val="1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03D41"/>
      </x:patternFill>
    </x:fill>
    <x:fill>
      <x:patternFill patternType="solid">
        <x:fgColor rgb="FFD9E9EC"/>
      </x:patternFill>
    </x:fill>
    <x:fill>
      <x:patternFill patternType="solid">
        <x:fgColor rgb="FFFFF8D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201" fontId="3" fillId="4" borderId="1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874e20d8f4a2d" /><Relationship Type="http://schemas.openxmlformats.org/officeDocument/2006/relationships/theme" Target="/xl/theme/theme1.xml" Id="R6b82df0ef7244c12" /><Relationship Type="http://schemas.openxmlformats.org/officeDocument/2006/relationships/sharedStrings" Target="/xl/sharedStrings.xml" Id="R6b850fbcbfdc409b" /><Relationship Type="http://schemas.openxmlformats.org/officeDocument/2006/relationships/worksheet" Target="/xl/worksheets/sheet1.xml" Id="R058b95a1188c4e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14" hidden="0" customWidth="1"/>
    <x:col min="8" max="8" width="21" hidden="0" customWidth="1"/>
    <x:col min="9" max="9" width="21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36" customHeight="1">
      <x:c r="A1" s="2" t="str">
        <x:v>SPORTS KITE INTERNATIONAL CO., LTD. · 工廠標準裝箱清單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42" customHeight="1">
      <x:c r="A2" s="4" t="str">
        <x:v>一列填一個尺碼；同箱不同尺碼重複同一箱號。NORMAL PACK 的 H 欄填每箱件數；MULTIPLE PACK 的 H 欄填每包配比、I 欄填每箱包數。箱數、重量及材積自動去重。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4" customHeight="1">
      <x:c r="A3" s="5" t="str">
        <x:v>7 F., NO. 522, SEC. 5, ZHONGSHAN N. RD., SHILIN DIST., TAIPEI CITY 111005 TAIWAN  ·  TEL: 886-2-2763-5455  FAX: 886-2-2763-5177  www.sportskite.com.tw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>
      <x:c r="A4" t="str">
        <x:v>S/C 號碼</x:v>
      </x:c>
      <x:c r="B4" t="str"/>
      <x:c r="C4"/>
      <x:c r="D4" t="str">
        <x:v>客戶 PO</x:v>
      </x:c>
      <x:c r="E4" t="str"/>
      <x:c r="F4"/>
      <x:c r="G4" t="str">
        <x:v>工廠</x:v>
      </x:c>
      <x:c r="H4" t="str"/>
      <x:c r="I4"/>
      <x:c r="J4" t="str">
        <x:v>資料類型</x:v>
      </x:c>
      <x:c r="K4" t="str">
        <x:v>正式裝箱</x:v>
      </x:c>
      <x:c r="L4"/>
    </x:row>
    <x:row r="6" ht="42" customHeight="1">
      <x:c r="A6" s="8" t="str">
        <x:v>箱號起</x:v>
      </x:c>
      <x:c r="B6" s="8" t="str">
        <x:v>箱號迄</x:v>
      </x:c>
      <x:c r="C6" s="8" t="str">
        <x:v>品號</x:v>
      </x:c>
      <x:c r="D6" s="8" t="str">
        <x:v>色碼</x:v>
      </x:c>
      <x:c r="E6" s="8" t="str">
        <x:v>色名</x:v>
      </x:c>
      <x:c r="F6" s="8" t="str">
        <x:v>包裝方式</x:v>
      </x:c>
      <x:c r="G6" s="8" t="str">
        <x:v>尺碼</x:v>
      </x:c>
      <x:c r="H6" s="8" t="str">
        <x:v>每箱件數／每包配比</x:v>
      </x:c>
      <x:c r="I6" s="8" t="str">
        <x:v>每箱包數（混碼用）</x:v>
      </x:c>
      <x:c r="J6" s="8" t="str">
        <x:v>每箱該尺碼件數</x:v>
      </x:c>
      <x:c r="K6" s="8" t="str">
        <x:v>箱數（去重）</x:v>
      </x:c>
      <x:c r="L6" s="8" t="str">
        <x:v>該尺碼總件數</x:v>
      </x:c>
      <x:c r="M6" s="8" t="str">
        <x:v>每箱淨重 kg</x:v>
      </x:c>
      <x:c r="N6" s="8" t="str">
        <x:v>每箱毛重 kg</x:v>
      </x:c>
      <x:c r="O6" s="8" t="str">
        <x:v>長 cm</x:v>
      </x:c>
      <x:c r="P6" s="8" t="str">
        <x:v>寬 cm</x:v>
      </x:c>
      <x:c r="Q6" s="8" t="str">
        <x:v>高 cm</x:v>
      </x:c>
      <x:c r="R6" s="8" t="str">
        <x:v>每箱材積 m³</x:v>
      </x:c>
      <x:c r="S6" s="8" t="str">
        <x:v>本箱總材積 m³</x:v>
      </x:c>
      <x:c r="T6" s="8" t="str">
        <x:v>本箱總淨重 kg</x:v>
      </x:c>
      <x:c r="U6" s="8" t="str">
        <x:v>本箱總毛重 kg</x:v>
      </x:c>
    </x:row>
    <x:row r="7" ht="24" customHeight="1">
      <x:c r="A7" s="10"/>
      <x:c r="B7" s="10"/>
      <x:c r="C7" s="10"/>
      <x:c r="D7" s="11"/>
      <x:c r="E7" s="10"/>
      <x:c r="F7" s="10"/>
      <x:c r="G7" s="10"/>
      <x:c r="H7" s="10"/>
      <x:c r="I7" s="10"/>
      <x:c r="J7" s="9" t="str">
        <x:f>IF(AND(ISNUMBER(A7),ISNUMBER(B7),C7&lt;&gt;"",G7&lt;&gt;""),IF(F7="MULTIPLE PACK",H7*I7,H7),"")</x:f>
      </x:c>
      <x:c r="K7" s="9" t="str">
        <x:f>IF(AND(ISNUMBER(A7),ISNUMBER(B7),C7&lt;&gt;"",G7&lt;&gt;""),IF(COUNTIFS($A$7:A7,A7,$B$7:B7,B7,$C$7:C7,C7,$D$7:D7,D7)=1,B7-A7+1,0),"")</x:f>
      </x:c>
      <x:c r="L7" s="9" t="str">
        <x:f>IF(AND(ISNUMBER(A7),ISNUMBER(B7),C7&lt;&gt;"",G7&lt;&gt;""),(B7-A7+1)*J7,"")</x:f>
      </x:c>
      <x:c r="M7" s="12"/>
      <x:c r="N7" s="12"/>
      <x:c r="O7" s="12"/>
      <x:c r="P7" s="12"/>
      <x:c r="Q7" s="12"/>
      <x:c r="R7" s="13" t="str">
        <x:f>IF(AND(ISNUMBER(A7),ISNUMBER(B7),C7&lt;&gt;"",G7&lt;&gt;""),O7*P7*Q7/1000000,"")</x:f>
      </x:c>
      <x:c r="S7" s="13" t="str">
        <x:f>IF(AND(ISNUMBER(A7),ISNUMBER(B7),C7&lt;&gt;"",G7&lt;&gt;""),K7*R7,"")</x:f>
      </x:c>
      <x:c r="T7" s="13" t="str">
        <x:f>IF(AND(ISNUMBER(A7),ISNUMBER(B7),C7&lt;&gt;"",G7&lt;&gt;""),K7*M7,"")</x:f>
      </x:c>
      <x:c r="U7" s="13" t="str">
        <x:f>IF(AND(ISNUMBER(A7),ISNUMBER(B7),C7&lt;&gt;"",G7&lt;&gt;""),K7*N7,"")</x:f>
      </x:c>
    </x:row>
    <x:row r="8" ht="24" customHeight="1">
      <x:c r="A8" s="10"/>
      <x:c r="B8" s="10"/>
      <x:c r="C8" s="10"/>
      <x:c r="D8" s="11"/>
      <x:c r="E8" s="10"/>
      <x:c r="F8" s="10"/>
      <x:c r="G8" s="10"/>
      <x:c r="H8" s="10"/>
      <x:c r="I8" s="10"/>
      <x:c r="J8" s="9" t="str">
        <x:f>IF(AND(ISNUMBER(A8),ISNUMBER(B8),C8&lt;&gt;"",G8&lt;&gt;""),IF(F8="MULTIPLE PACK",H8*I8,H8),"")</x:f>
      </x:c>
      <x:c r="K8" s="9" t="str">
        <x:f>IF(AND(ISNUMBER(A8),ISNUMBER(B8),C8&lt;&gt;"",G8&lt;&gt;""),IF(COUNTIFS($A$7:A8,A8,$B$7:B8,B8,$C$7:C8,C8,$D$7:D8,D8)=1,B8-A8+1,0),"")</x:f>
      </x:c>
      <x:c r="L8" s="9" t="str">
        <x:f>IF(AND(ISNUMBER(A8),ISNUMBER(B8),C8&lt;&gt;"",G8&lt;&gt;""),(B8-A8+1)*J8,"")</x:f>
      </x:c>
      <x:c r="M8" s="12"/>
      <x:c r="N8" s="12"/>
      <x:c r="O8" s="12"/>
      <x:c r="P8" s="12"/>
      <x:c r="Q8" s="12"/>
      <x:c r="R8" s="13" t="str">
        <x:f>IF(AND(ISNUMBER(A8),ISNUMBER(B8),C8&lt;&gt;"",G8&lt;&gt;""),O8*P8*Q8/1000000,"")</x:f>
      </x:c>
      <x:c r="S8" s="13" t="str">
        <x:f>IF(AND(ISNUMBER(A8),ISNUMBER(B8),C8&lt;&gt;"",G8&lt;&gt;""),K8*R8,"")</x:f>
      </x:c>
      <x:c r="T8" s="13" t="str">
        <x:f>IF(AND(ISNUMBER(A8),ISNUMBER(B8),C8&lt;&gt;"",G8&lt;&gt;""),K8*M8,"")</x:f>
      </x:c>
      <x:c r="U8" s="13" t="str">
        <x:f>IF(AND(ISNUMBER(A8),ISNUMBER(B8),C8&lt;&gt;"",G8&lt;&gt;""),K8*N8,"")</x:f>
      </x:c>
    </x:row>
    <x:row r="9" ht="24" customHeight="1">
      <x:c r="A9" s="10"/>
      <x:c r="B9" s="10"/>
      <x:c r="C9" s="10"/>
      <x:c r="D9" s="11"/>
      <x:c r="E9" s="10"/>
      <x:c r="F9" s="10"/>
      <x:c r="G9" s="10"/>
      <x:c r="H9" s="10"/>
      <x:c r="I9" s="10"/>
      <x:c r="J9" s="9" t="str">
        <x:f>IF(AND(ISNUMBER(A9),ISNUMBER(B9),C9&lt;&gt;"",G9&lt;&gt;""),IF(F9="MULTIPLE PACK",H9*I9,H9),"")</x:f>
      </x:c>
      <x:c r="K9" s="9" t="str">
        <x:f>IF(AND(ISNUMBER(A9),ISNUMBER(B9),C9&lt;&gt;"",G9&lt;&gt;""),IF(COUNTIFS($A$7:A9,A9,$B$7:B9,B9,$C$7:C9,C9,$D$7:D9,D9)=1,B9-A9+1,0),"")</x:f>
      </x:c>
      <x:c r="L9" s="9" t="str">
        <x:f>IF(AND(ISNUMBER(A9),ISNUMBER(B9),C9&lt;&gt;"",G9&lt;&gt;""),(B9-A9+1)*J9,"")</x:f>
      </x:c>
      <x:c r="M9" s="12"/>
      <x:c r="N9" s="12"/>
      <x:c r="O9" s="12"/>
      <x:c r="P9" s="12"/>
      <x:c r="Q9" s="12"/>
      <x:c r="R9" s="13" t="str">
        <x:f>IF(AND(ISNUMBER(A9),ISNUMBER(B9),C9&lt;&gt;"",G9&lt;&gt;""),O9*P9*Q9/1000000,"")</x:f>
      </x:c>
      <x:c r="S9" s="13" t="str">
        <x:f>IF(AND(ISNUMBER(A9),ISNUMBER(B9),C9&lt;&gt;"",G9&lt;&gt;""),K9*R9,"")</x:f>
      </x:c>
      <x:c r="T9" s="13" t="str">
        <x:f>IF(AND(ISNUMBER(A9),ISNUMBER(B9),C9&lt;&gt;"",G9&lt;&gt;""),K9*M9,"")</x:f>
      </x:c>
      <x:c r="U9" s="13" t="str">
        <x:f>IF(AND(ISNUMBER(A9),ISNUMBER(B9),C9&lt;&gt;"",G9&lt;&gt;""),K9*N9,"")</x:f>
      </x:c>
    </x:row>
    <x:row r="10" ht="24" customHeight="1">
      <x:c r="A10" s="10"/>
      <x:c r="B10" s="10"/>
      <x:c r="C10" s="10"/>
      <x:c r="D10" s="11"/>
      <x:c r="E10" s="10"/>
      <x:c r="F10" s="10"/>
      <x:c r="G10" s="10"/>
      <x:c r="H10" s="10"/>
      <x:c r="I10" s="10"/>
      <x:c r="J10" s="9" t="str">
        <x:f>IF(AND(ISNUMBER(A10),ISNUMBER(B10),C10&lt;&gt;"",G10&lt;&gt;""),IF(F10="MULTIPLE PACK",H10*I10,H10),"")</x:f>
      </x:c>
      <x:c r="K10" s="9" t="str">
        <x:f>IF(AND(ISNUMBER(A10),ISNUMBER(B10),C10&lt;&gt;"",G10&lt;&gt;""),IF(COUNTIFS($A$7:A10,A10,$B$7:B10,B10,$C$7:C10,C10,$D$7:D10,D10)=1,B10-A10+1,0),"")</x:f>
      </x:c>
      <x:c r="L10" s="9" t="str">
        <x:f>IF(AND(ISNUMBER(A10),ISNUMBER(B10),C10&lt;&gt;"",G10&lt;&gt;""),(B10-A10+1)*J10,"")</x:f>
      </x:c>
      <x:c r="M10" s="12"/>
      <x:c r="N10" s="12"/>
      <x:c r="O10" s="12"/>
      <x:c r="P10" s="12"/>
      <x:c r="Q10" s="12"/>
      <x:c r="R10" s="13" t="str">
        <x:f>IF(AND(ISNUMBER(A10),ISNUMBER(B10),C10&lt;&gt;"",G10&lt;&gt;""),O10*P10*Q10/1000000,"")</x:f>
      </x:c>
      <x:c r="S10" s="13" t="str">
        <x:f>IF(AND(ISNUMBER(A10),ISNUMBER(B10),C10&lt;&gt;"",G10&lt;&gt;""),K10*R10,"")</x:f>
      </x:c>
      <x:c r="T10" s="13" t="str">
        <x:f>IF(AND(ISNUMBER(A10),ISNUMBER(B10),C10&lt;&gt;"",G10&lt;&gt;""),K10*M10,"")</x:f>
      </x:c>
      <x:c r="U10" s="13" t="str">
        <x:f>IF(AND(ISNUMBER(A10),ISNUMBER(B10),C10&lt;&gt;"",G10&lt;&gt;""),K10*N10,"")</x:f>
      </x:c>
    </x:row>
    <x:row r="11" ht="24" customHeight="1">
      <x:c r="A11" s="10"/>
      <x:c r="B11" s="10"/>
      <x:c r="C11" s="10"/>
      <x:c r="D11" s="11"/>
      <x:c r="E11" s="10"/>
      <x:c r="F11" s="10"/>
      <x:c r="G11" s="10"/>
      <x:c r="H11" s="10"/>
      <x:c r="I11" s="10"/>
      <x:c r="J11" s="9" t="str">
        <x:f>IF(AND(ISNUMBER(A11),ISNUMBER(B11),C11&lt;&gt;"",G11&lt;&gt;""),IF(F11="MULTIPLE PACK",H11*I11,H11),"")</x:f>
      </x:c>
      <x:c r="K11" s="9" t="str">
        <x:f>IF(AND(ISNUMBER(A11),ISNUMBER(B11),C11&lt;&gt;"",G11&lt;&gt;""),IF(COUNTIFS($A$7:A11,A11,$B$7:B11,B11,$C$7:C11,C11,$D$7:D11,D11)=1,B11-A11+1,0),"")</x:f>
      </x:c>
      <x:c r="L11" s="9" t="str">
        <x:f>IF(AND(ISNUMBER(A11),ISNUMBER(B11),C11&lt;&gt;"",G11&lt;&gt;""),(B11-A11+1)*J11,"")</x:f>
      </x:c>
      <x:c r="M11" s="12"/>
      <x:c r="N11" s="12"/>
      <x:c r="O11" s="12"/>
      <x:c r="P11" s="12"/>
      <x:c r="Q11" s="12"/>
      <x:c r="R11" s="13" t="str">
        <x:f>IF(AND(ISNUMBER(A11),ISNUMBER(B11),C11&lt;&gt;"",G11&lt;&gt;""),O11*P11*Q11/1000000,"")</x:f>
      </x:c>
      <x:c r="S11" s="13" t="str">
        <x:f>IF(AND(ISNUMBER(A11),ISNUMBER(B11),C11&lt;&gt;"",G11&lt;&gt;""),K11*R11,"")</x:f>
      </x:c>
      <x:c r="T11" s="13" t="str">
        <x:f>IF(AND(ISNUMBER(A11),ISNUMBER(B11),C11&lt;&gt;"",G11&lt;&gt;""),K11*M11,"")</x:f>
      </x:c>
      <x:c r="U11" s="13" t="str">
        <x:f>IF(AND(ISNUMBER(A11),ISNUMBER(B11),C11&lt;&gt;"",G11&lt;&gt;""),K11*N11,"")</x:f>
      </x:c>
    </x:row>
    <x:row r="12" ht="24" customHeight="1">
      <x:c r="A12" s="10"/>
      <x:c r="B12" s="10"/>
      <x:c r="C12" s="10"/>
      <x:c r="D12" s="11"/>
      <x:c r="E12" s="10"/>
      <x:c r="F12" s="10"/>
      <x:c r="G12" s="10"/>
      <x:c r="H12" s="10"/>
      <x:c r="I12" s="10"/>
      <x:c r="J12" s="9" t="str">
        <x:f>IF(AND(ISNUMBER(A12),ISNUMBER(B12),C12&lt;&gt;"",G12&lt;&gt;""),IF(F12="MULTIPLE PACK",H12*I12,H12),"")</x:f>
      </x:c>
      <x:c r="K12" s="9" t="str">
        <x:f>IF(AND(ISNUMBER(A12),ISNUMBER(B12),C12&lt;&gt;"",G12&lt;&gt;""),IF(COUNTIFS($A$7:A12,A12,$B$7:B12,B12,$C$7:C12,C12,$D$7:D12,D12)=1,B12-A12+1,0),"")</x:f>
      </x:c>
      <x:c r="L12" s="9" t="str">
        <x:f>IF(AND(ISNUMBER(A12),ISNUMBER(B12),C12&lt;&gt;"",G12&lt;&gt;""),(B12-A12+1)*J12,"")</x:f>
      </x:c>
      <x:c r="M12" s="12"/>
      <x:c r="N12" s="12"/>
      <x:c r="O12" s="12"/>
      <x:c r="P12" s="12"/>
      <x:c r="Q12" s="12"/>
      <x:c r="R12" s="13" t="str">
        <x:f>IF(AND(ISNUMBER(A12),ISNUMBER(B12),C12&lt;&gt;"",G12&lt;&gt;""),O12*P12*Q12/1000000,"")</x:f>
      </x:c>
      <x:c r="S12" s="13" t="str">
        <x:f>IF(AND(ISNUMBER(A12),ISNUMBER(B12),C12&lt;&gt;"",G12&lt;&gt;""),K12*R12,"")</x:f>
      </x:c>
      <x:c r="T12" s="13" t="str">
        <x:f>IF(AND(ISNUMBER(A12),ISNUMBER(B12),C12&lt;&gt;"",G12&lt;&gt;""),K12*M12,"")</x:f>
      </x:c>
      <x:c r="U12" s="13" t="str">
        <x:f>IF(AND(ISNUMBER(A12),ISNUMBER(B12),C12&lt;&gt;"",G12&lt;&gt;""),K12*N12,"")</x:f>
      </x:c>
    </x:row>
    <x:row r="13" ht="24" customHeight="1">
      <x:c r="A13" s="10"/>
      <x:c r="B13" s="10"/>
      <x:c r="C13" s="10"/>
      <x:c r="D13" s="11"/>
      <x:c r="E13" s="10"/>
      <x:c r="F13" s="10"/>
      <x:c r="G13" s="10"/>
      <x:c r="H13" s="10"/>
      <x:c r="I13" s="10"/>
      <x:c r="J13" s="9" t="str">
        <x:f>IF(AND(ISNUMBER(A13),ISNUMBER(B13),C13&lt;&gt;"",G13&lt;&gt;""),IF(F13="MULTIPLE PACK",H13*I13,H13),"")</x:f>
      </x:c>
      <x:c r="K13" s="9" t="str">
        <x:f>IF(AND(ISNUMBER(A13),ISNUMBER(B13),C13&lt;&gt;"",G13&lt;&gt;""),IF(COUNTIFS($A$7:A13,A13,$B$7:B13,B13,$C$7:C13,C13,$D$7:D13,D13)=1,B13-A13+1,0),"")</x:f>
      </x:c>
      <x:c r="L13" s="9" t="str">
        <x:f>IF(AND(ISNUMBER(A13),ISNUMBER(B13),C13&lt;&gt;"",G13&lt;&gt;""),(B13-A13+1)*J13,"")</x:f>
      </x:c>
      <x:c r="M13" s="12"/>
      <x:c r="N13" s="12"/>
      <x:c r="O13" s="12"/>
      <x:c r="P13" s="12"/>
      <x:c r="Q13" s="12"/>
      <x:c r="R13" s="13" t="str">
        <x:f>IF(AND(ISNUMBER(A13),ISNUMBER(B13),C13&lt;&gt;"",G13&lt;&gt;""),O13*P13*Q13/1000000,"")</x:f>
      </x:c>
      <x:c r="S13" s="13" t="str">
        <x:f>IF(AND(ISNUMBER(A13),ISNUMBER(B13),C13&lt;&gt;"",G13&lt;&gt;""),K13*R13,"")</x:f>
      </x:c>
      <x:c r="T13" s="13" t="str">
        <x:f>IF(AND(ISNUMBER(A13),ISNUMBER(B13),C13&lt;&gt;"",G13&lt;&gt;""),K13*M13,"")</x:f>
      </x:c>
      <x:c r="U13" s="13" t="str">
        <x:f>IF(AND(ISNUMBER(A13),ISNUMBER(B13),C13&lt;&gt;"",G13&lt;&gt;""),K13*N13,"")</x:f>
      </x:c>
    </x:row>
    <x:row r="14" ht="24" customHeight="1">
      <x:c r="A14" s="10"/>
      <x:c r="B14" s="10"/>
      <x:c r="C14" s="10"/>
      <x:c r="D14" s="11"/>
      <x:c r="E14" s="10"/>
      <x:c r="F14" s="10"/>
      <x:c r="G14" s="10"/>
      <x:c r="H14" s="10"/>
      <x:c r="I14" s="10"/>
      <x:c r="J14" s="9" t="str">
        <x:f>IF(AND(ISNUMBER(A14),ISNUMBER(B14),C14&lt;&gt;"",G14&lt;&gt;""),IF(F14="MULTIPLE PACK",H14*I14,H14),"")</x:f>
      </x:c>
      <x:c r="K14" s="9" t="str">
        <x:f>IF(AND(ISNUMBER(A14),ISNUMBER(B14),C14&lt;&gt;"",G14&lt;&gt;""),IF(COUNTIFS($A$7:A14,A14,$B$7:B14,B14,$C$7:C14,C14,$D$7:D14,D14)=1,B14-A14+1,0),"")</x:f>
      </x:c>
      <x:c r="L14" s="9" t="str">
        <x:f>IF(AND(ISNUMBER(A14),ISNUMBER(B14),C14&lt;&gt;"",G14&lt;&gt;""),(B14-A14+1)*J14,"")</x:f>
      </x:c>
      <x:c r="M14" s="12"/>
      <x:c r="N14" s="12"/>
      <x:c r="O14" s="12"/>
      <x:c r="P14" s="12"/>
      <x:c r="Q14" s="12"/>
      <x:c r="R14" s="13" t="str">
        <x:f>IF(AND(ISNUMBER(A14),ISNUMBER(B14),C14&lt;&gt;"",G14&lt;&gt;""),O14*P14*Q14/1000000,"")</x:f>
      </x:c>
      <x:c r="S14" s="13" t="str">
        <x:f>IF(AND(ISNUMBER(A14),ISNUMBER(B14),C14&lt;&gt;"",G14&lt;&gt;""),K14*R14,"")</x:f>
      </x:c>
      <x:c r="T14" s="13" t="str">
        <x:f>IF(AND(ISNUMBER(A14),ISNUMBER(B14),C14&lt;&gt;"",G14&lt;&gt;""),K14*M14,"")</x:f>
      </x:c>
      <x:c r="U14" s="13" t="str">
        <x:f>IF(AND(ISNUMBER(A14),ISNUMBER(B14),C14&lt;&gt;"",G14&lt;&gt;""),K14*N14,"")</x:f>
      </x:c>
    </x:row>
    <x:row r="15" ht="24" customHeight="1">
      <x:c r="A15" s="10"/>
      <x:c r="B15" s="10"/>
      <x:c r="C15" s="10"/>
      <x:c r="D15" s="11"/>
      <x:c r="E15" s="10"/>
      <x:c r="F15" s="10"/>
      <x:c r="G15" s="10"/>
      <x:c r="H15" s="10"/>
      <x:c r="I15" s="10"/>
      <x:c r="J15" s="9" t="str">
        <x:f>IF(AND(ISNUMBER(A15),ISNUMBER(B15),C15&lt;&gt;"",G15&lt;&gt;""),IF(F15="MULTIPLE PACK",H15*I15,H15),"")</x:f>
      </x:c>
      <x:c r="K15" s="9" t="str">
        <x:f>IF(AND(ISNUMBER(A15),ISNUMBER(B15),C15&lt;&gt;"",G15&lt;&gt;""),IF(COUNTIFS($A$7:A15,A15,$B$7:B15,B15,$C$7:C15,C15,$D$7:D15,D15)=1,B15-A15+1,0),"")</x:f>
      </x:c>
      <x:c r="L15" s="9" t="str">
        <x:f>IF(AND(ISNUMBER(A15),ISNUMBER(B15),C15&lt;&gt;"",G15&lt;&gt;""),(B15-A15+1)*J15,"")</x:f>
      </x:c>
      <x:c r="M15" s="12"/>
      <x:c r="N15" s="12"/>
      <x:c r="O15" s="12"/>
      <x:c r="P15" s="12"/>
      <x:c r="Q15" s="12"/>
      <x:c r="R15" s="13" t="str">
        <x:f>IF(AND(ISNUMBER(A15),ISNUMBER(B15),C15&lt;&gt;"",G15&lt;&gt;""),O15*P15*Q15/1000000,"")</x:f>
      </x:c>
      <x:c r="S15" s="13" t="str">
        <x:f>IF(AND(ISNUMBER(A15),ISNUMBER(B15),C15&lt;&gt;"",G15&lt;&gt;""),K15*R15,"")</x:f>
      </x:c>
      <x:c r="T15" s="13" t="str">
        <x:f>IF(AND(ISNUMBER(A15),ISNUMBER(B15),C15&lt;&gt;"",G15&lt;&gt;""),K15*M15,"")</x:f>
      </x:c>
      <x:c r="U15" s="13" t="str">
        <x:f>IF(AND(ISNUMBER(A15),ISNUMBER(B15),C15&lt;&gt;"",G15&lt;&gt;""),K15*N15,"")</x:f>
      </x:c>
    </x:row>
    <x:row r="16" ht="24" customHeight="1">
      <x:c r="A16" s="10"/>
      <x:c r="B16" s="10"/>
      <x:c r="C16" s="10"/>
      <x:c r="D16" s="11"/>
      <x:c r="E16" s="10"/>
      <x:c r="F16" s="10"/>
      <x:c r="G16" s="10"/>
      <x:c r="H16" s="10"/>
      <x:c r="I16" s="10"/>
      <x:c r="J16" s="9" t="str">
        <x:f>IF(AND(ISNUMBER(A16),ISNUMBER(B16),C16&lt;&gt;"",G16&lt;&gt;""),IF(F16="MULTIPLE PACK",H16*I16,H16),"")</x:f>
      </x:c>
      <x:c r="K16" s="9" t="str">
        <x:f>IF(AND(ISNUMBER(A16),ISNUMBER(B16),C16&lt;&gt;"",G16&lt;&gt;""),IF(COUNTIFS($A$7:A16,A16,$B$7:B16,B16,$C$7:C16,C16,$D$7:D16,D16)=1,B16-A16+1,0),"")</x:f>
      </x:c>
      <x:c r="L16" s="9" t="str">
        <x:f>IF(AND(ISNUMBER(A16),ISNUMBER(B16),C16&lt;&gt;"",G16&lt;&gt;""),(B16-A16+1)*J16,"")</x:f>
      </x:c>
      <x:c r="M16" s="12"/>
      <x:c r="N16" s="12"/>
      <x:c r="O16" s="12"/>
      <x:c r="P16" s="12"/>
      <x:c r="Q16" s="12"/>
      <x:c r="R16" s="13" t="str">
        <x:f>IF(AND(ISNUMBER(A16),ISNUMBER(B16),C16&lt;&gt;"",G16&lt;&gt;""),O16*P16*Q16/1000000,"")</x:f>
      </x:c>
      <x:c r="S16" s="13" t="str">
        <x:f>IF(AND(ISNUMBER(A16),ISNUMBER(B16),C16&lt;&gt;"",G16&lt;&gt;""),K16*R16,"")</x:f>
      </x:c>
      <x:c r="T16" s="13" t="str">
        <x:f>IF(AND(ISNUMBER(A16),ISNUMBER(B16),C16&lt;&gt;"",G16&lt;&gt;""),K16*M16,"")</x:f>
      </x:c>
      <x:c r="U16" s="13" t="str">
        <x:f>IF(AND(ISNUMBER(A16),ISNUMBER(B16),C16&lt;&gt;"",G16&lt;&gt;""),K16*N16,"")</x:f>
      </x:c>
    </x:row>
    <x:row r="17" ht="24" customHeight="1">
      <x:c r="A17" s="10"/>
      <x:c r="B17" s="10"/>
      <x:c r="C17" s="10"/>
      <x:c r="D17" s="11"/>
      <x:c r="E17" s="10"/>
      <x:c r="F17" s="10"/>
      <x:c r="G17" s="10"/>
      <x:c r="H17" s="10"/>
      <x:c r="I17" s="10"/>
      <x:c r="J17" s="9" t="str">
        <x:f>IF(AND(ISNUMBER(A17),ISNUMBER(B17),C17&lt;&gt;"",G17&lt;&gt;""),IF(F17="MULTIPLE PACK",H17*I17,H17),"")</x:f>
      </x:c>
      <x:c r="K17" s="9" t="str">
        <x:f>IF(AND(ISNUMBER(A17),ISNUMBER(B17),C17&lt;&gt;"",G17&lt;&gt;""),IF(COUNTIFS($A$7:A17,A17,$B$7:B17,B17,$C$7:C17,C17,$D$7:D17,D17)=1,B17-A17+1,0),"")</x:f>
      </x:c>
      <x:c r="L17" s="9" t="str">
        <x:f>IF(AND(ISNUMBER(A17),ISNUMBER(B17),C17&lt;&gt;"",G17&lt;&gt;""),(B17-A17+1)*J17,"")</x:f>
      </x:c>
      <x:c r="M17" s="12"/>
      <x:c r="N17" s="12"/>
      <x:c r="O17" s="12"/>
      <x:c r="P17" s="12"/>
      <x:c r="Q17" s="12"/>
      <x:c r="R17" s="13" t="str">
        <x:f>IF(AND(ISNUMBER(A17),ISNUMBER(B17),C17&lt;&gt;"",G17&lt;&gt;""),O17*P17*Q17/1000000,"")</x:f>
      </x:c>
      <x:c r="S17" s="13" t="str">
        <x:f>IF(AND(ISNUMBER(A17),ISNUMBER(B17),C17&lt;&gt;"",G17&lt;&gt;""),K17*R17,"")</x:f>
      </x:c>
      <x:c r="T17" s="13" t="str">
        <x:f>IF(AND(ISNUMBER(A17),ISNUMBER(B17),C17&lt;&gt;"",G17&lt;&gt;""),K17*M17,"")</x:f>
      </x:c>
      <x:c r="U17" s="13" t="str">
        <x:f>IF(AND(ISNUMBER(A17),ISNUMBER(B17),C17&lt;&gt;"",G17&lt;&gt;""),K17*N17,"")</x:f>
      </x:c>
    </x:row>
    <x:row r="18" ht="24" customHeight="1">
      <x:c r="A18" s="10"/>
      <x:c r="B18" s="10"/>
      <x:c r="C18" s="10"/>
      <x:c r="D18" s="11"/>
      <x:c r="E18" s="10"/>
      <x:c r="F18" s="10"/>
      <x:c r="G18" s="10"/>
      <x:c r="H18" s="10"/>
      <x:c r="I18" s="10"/>
      <x:c r="J18" s="9" t="str">
        <x:f>IF(AND(ISNUMBER(A18),ISNUMBER(B18),C18&lt;&gt;"",G18&lt;&gt;""),IF(F18="MULTIPLE PACK",H18*I18,H18),"")</x:f>
      </x:c>
      <x:c r="K18" s="9" t="str">
        <x:f>IF(AND(ISNUMBER(A18),ISNUMBER(B18),C18&lt;&gt;"",G18&lt;&gt;""),IF(COUNTIFS($A$7:A18,A18,$B$7:B18,B18,$C$7:C18,C18,$D$7:D18,D18)=1,B18-A18+1,0),"")</x:f>
      </x:c>
      <x:c r="L18" s="9" t="str">
        <x:f>IF(AND(ISNUMBER(A18),ISNUMBER(B18),C18&lt;&gt;"",G18&lt;&gt;""),(B18-A18+1)*J18,"")</x:f>
      </x:c>
      <x:c r="M18" s="12"/>
      <x:c r="N18" s="12"/>
      <x:c r="O18" s="12"/>
      <x:c r="P18" s="12"/>
      <x:c r="Q18" s="12"/>
      <x:c r="R18" s="13" t="str">
        <x:f>IF(AND(ISNUMBER(A18),ISNUMBER(B18),C18&lt;&gt;"",G18&lt;&gt;""),O18*P18*Q18/1000000,"")</x:f>
      </x:c>
      <x:c r="S18" s="13" t="str">
        <x:f>IF(AND(ISNUMBER(A18),ISNUMBER(B18),C18&lt;&gt;"",G18&lt;&gt;""),K18*R18,"")</x:f>
      </x:c>
      <x:c r="T18" s="13" t="str">
        <x:f>IF(AND(ISNUMBER(A18),ISNUMBER(B18),C18&lt;&gt;"",G18&lt;&gt;""),K18*M18,"")</x:f>
      </x:c>
      <x:c r="U18" s="13" t="str">
        <x:f>IF(AND(ISNUMBER(A18),ISNUMBER(B18),C18&lt;&gt;"",G18&lt;&gt;""),K18*N18,"")</x:f>
      </x:c>
    </x:row>
    <x:row r="19" ht="24" customHeight="1">
      <x:c r="A19" s="10"/>
      <x:c r="B19" s="10"/>
      <x:c r="C19" s="10"/>
      <x:c r="D19" s="11"/>
      <x:c r="E19" s="10"/>
      <x:c r="F19" s="10"/>
      <x:c r="G19" s="10"/>
      <x:c r="H19" s="10"/>
      <x:c r="I19" s="10"/>
      <x:c r="J19" s="9" t="str">
        <x:f>IF(AND(ISNUMBER(A19),ISNUMBER(B19),C19&lt;&gt;"",G19&lt;&gt;""),IF(F19="MULTIPLE PACK",H19*I19,H19),"")</x:f>
      </x:c>
      <x:c r="K19" s="9" t="str">
        <x:f>IF(AND(ISNUMBER(A19),ISNUMBER(B19),C19&lt;&gt;"",G19&lt;&gt;""),IF(COUNTIFS($A$7:A19,A19,$B$7:B19,B19,$C$7:C19,C19,$D$7:D19,D19)=1,B19-A19+1,0),"")</x:f>
      </x:c>
      <x:c r="L19" s="9" t="str">
        <x:f>IF(AND(ISNUMBER(A19),ISNUMBER(B19),C19&lt;&gt;"",G19&lt;&gt;""),(B19-A19+1)*J19,"")</x:f>
      </x:c>
      <x:c r="M19" s="12"/>
      <x:c r="N19" s="12"/>
      <x:c r="O19" s="12"/>
      <x:c r="P19" s="12"/>
      <x:c r="Q19" s="12"/>
      <x:c r="R19" s="13" t="str">
        <x:f>IF(AND(ISNUMBER(A19),ISNUMBER(B19),C19&lt;&gt;"",G19&lt;&gt;""),O19*P19*Q19/1000000,"")</x:f>
      </x:c>
      <x:c r="S19" s="13" t="str">
        <x:f>IF(AND(ISNUMBER(A19),ISNUMBER(B19),C19&lt;&gt;"",G19&lt;&gt;""),K19*R19,"")</x:f>
      </x:c>
      <x:c r="T19" s="13" t="str">
        <x:f>IF(AND(ISNUMBER(A19),ISNUMBER(B19),C19&lt;&gt;"",G19&lt;&gt;""),K19*M19,"")</x:f>
      </x:c>
      <x:c r="U19" s="13" t="str">
        <x:f>IF(AND(ISNUMBER(A19),ISNUMBER(B19),C19&lt;&gt;"",G19&lt;&gt;""),K19*N19,"")</x:f>
      </x:c>
    </x:row>
    <x:row r="20" ht="24" customHeight="1">
      <x:c r="A20" s="10"/>
      <x:c r="B20" s="10"/>
      <x:c r="C20" s="10"/>
      <x:c r="D20" s="11"/>
      <x:c r="E20" s="10"/>
      <x:c r="F20" s="10"/>
      <x:c r="G20" s="10"/>
      <x:c r="H20" s="10"/>
      <x:c r="I20" s="10"/>
      <x:c r="J20" s="9" t="str">
        <x:f>IF(AND(ISNUMBER(A20),ISNUMBER(B20),C20&lt;&gt;"",G20&lt;&gt;""),IF(F20="MULTIPLE PACK",H20*I20,H20),"")</x:f>
      </x:c>
      <x:c r="K20" s="9" t="str">
        <x:f>IF(AND(ISNUMBER(A20),ISNUMBER(B20),C20&lt;&gt;"",G20&lt;&gt;""),IF(COUNTIFS($A$7:A20,A20,$B$7:B20,B20,$C$7:C20,C20,$D$7:D20,D20)=1,B20-A20+1,0),"")</x:f>
      </x:c>
      <x:c r="L20" s="9" t="str">
        <x:f>IF(AND(ISNUMBER(A20),ISNUMBER(B20),C20&lt;&gt;"",G20&lt;&gt;""),(B20-A20+1)*J20,"")</x:f>
      </x:c>
      <x:c r="M20" s="12"/>
      <x:c r="N20" s="12"/>
      <x:c r="O20" s="12"/>
      <x:c r="P20" s="12"/>
      <x:c r="Q20" s="12"/>
      <x:c r="R20" s="13" t="str">
        <x:f>IF(AND(ISNUMBER(A20),ISNUMBER(B20),C20&lt;&gt;"",G20&lt;&gt;""),O20*P20*Q20/1000000,"")</x:f>
      </x:c>
      <x:c r="S20" s="13" t="str">
        <x:f>IF(AND(ISNUMBER(A20),ISNUMBER(B20),C20&lt;&gt;"",G20&lt;&gt;""),K20*R20,"")</x:f>
      </x:c>
      <x:c r="T20" s="13" t="str">
        <x:f>IF(AND(ISNUMBER(A20),ISNUMBER(B20),C20&lt;&gt;"",G20&lt;&gt;""),K20*M20,"")</x:f>
      </x:c>
      <x:c r="U20" s="13" t="str">
        <x:f>IF(AND(ISNUMBER(A20),ISNUMBER(B20),C20&lt;&gt;"",G20&lt;&gt;""),K20*N20,"")</x:f>
      </x:c>
    </x:row>
    <x:row r="21" ht="24" customHeight="1">
      <x:c r="A21" s="10"/>
      <x:c r="B21" s="10"/>
      <x:c r="C21" s="10"/>
      <x:c r="D21" s="11"/>
      <x:c r="E21" s="10"/>
      <x:c r="F21" s="10"/>
      <x:c r="G21" s="10"/>
      <x:c r="H21" s="10"/>
      <x:c r="I21" s="10"/>
      <x:c r="J21" s="9" t="str">
        <x:f>IF(AND(ISNUMBER(A21),ISNUMBER(B21),C21&lt;&gt;"",G21&lt;&gt;""),IF(F21="MULTIPLE PACK",H21*I21,H21),"")</x:f>
      </x:c>
      <x:c r="K21" s="9" t="str">
        <x:f>IF(AND(ISNUMBER(A21),ISNUMBER(B21),C21&lt;&gt;"",G21&lt;&gt;""),IF(COUNTIFS($A$7:A21,A21,$B$7:B21,B21,$C$7:C21,C21,$D$7:D21,D21)=1,B21-A21+1,0),"")</x:f>
      </x:c>
      <x:c r="L21" s="9" t="str">
        <x:f>IF(AND(ISNUMBER(A21),ISNUMBER(B21),C21&lt;&gt;"",G21&lt;&gt;""),(B21-A21+1)*J21,"")</x:f>
      </x:c>
      <x:c r="M21" s="12"/>
      <x:c r="N21" s="12"/>
      <x:c r="O21" s="12"/>
      <x:c r="P21" s="12"/>
      <x:c r="Q21" s="12"/>
      <x:c r="R21" s="13" t="str">
        <x:f>IF(AND(ISNUMBER(A21),ISNUMBER(B21),C21&lt;&gt;"",G21&lt;&gt;""),O21*P21*Q21/1000000,"")</x:f>
      </x:c>
      <x:c r="S21" s="13" t="str">
        <x:f>IF(AND(ISNUMBER(A21),ISNUMBER(B21),C21&lt;&gt;"",G21&lt;&gt;""),K21*R21,"")</x:f>
      </x:c>
      <x:c r="T21" s="13" t="str">
        <x:f>IF(AND(ISNUMBER(A21),ISNUMBER(B21),C21&lt;&gt;"",G21&lt;&gt;""),K21*M21,"")</x:f>
      </x:c>
      <x:c r="U21" s="13" t="str">
        <x:f>IF(AND(ISNUMBER(A21),ISNUMBER(B21),C21&lt;&gt;"",G21&lt;&gt;""),K21*N21,"")</x:f>
      </x:c>
    </x:row>
    <x:row r="22" ht="24" customHeight="1">
      <x:c r="A22" s="10"/>
      <x:c r="B22" s="10"/>
      <x:c r="C22" s="10"/>
      <x:c r="D22" s="11"/>
      <x:c r="E22" s="10"/>
      <x:c r="F22" s="10"/>
      <x:c r="G22" s="10"/>
      <x:c r="H22" s="10"/>
      <x:c r="I22" s="10"/>
      <x:c r="J22" s="9" t="str">
        <x:f>IF(AND(ISNUMBER(A22),ISNUMBER(B22),C22&lt;&gt;"",G22&lt;&gt;""),IF(F22="MULTIPLE PACK",H22*I22,H22),"")</x:f>
      </x:c>
      <x:c r="K22" s="9" t="str">
        <x:f>IF(AND(ISNUMBER(A22),ISNUMBER(B22),C22&lt;&gt;"",G22&lt;&gt;""),IF(COUNTIFS($A$7:A22,A22,$B$7:B22,B22,$C$7:C22,C22,$D$7:D22,D22)=1,B22-A22+1,0),"")</x:f>
      </x:c>
      <x:c r="L22" s="9" t="str">
        <x:f>IF(AND(ISNUMBER(A22),ISNUMBER(B22),C22&lt;&gt;"",G22&lt;&gt;""),(B22-A22+1)*J22,"")</x:f>
      </x:c>
      <x:c r="M22" s="12"/>
      <x:c r="N22" s="12"/>
      <x:c r="O22" s="12"/>
      <x:c r="P22" s="12"/>
      <x:c r="Q22" s="12"/>
      <x:c r="R22" s="13" t="str">
        <x:f>IF(AND(ISNUMBER(A22),ISNUMBER(B22),C22&lt;&gt;"",G22&lt;&gt;""),O22*P22*Q22/1000000,"")</x:f>
      </x:c>
      <x:c r="S22" s="13" t="str">
        <x:f>IF(AND(ISNUMBER(A22),ISNUMBER(B22),C22&lt;&gt;"",G22&lt;&gt;""),K22*R22,"")</x:f>
      </x:c>
      <x:c r="T22" s="13" t="str">
        <x:f>IF(AND(ISNUMBER(A22),ISNUMBER(B22),C22&lt;&gt;"",G22&lt;&gt;""),K22*M22,"")</x:f>
      </x:c>
      <x:c r="U22" s="13" t="str">
        <x:f>IF(AND(ISNUMBER(A22),ISNUMBER(B22),C22&lt;&gt;"",G22&lt;&gt;""),K22*N22,"")</x:f>
      </x:c>
    </x:row>
    <x:row r="23" ht="24" customHeight="1">
      <x:c r="A23" s="10"/>
      <x:c r="B23" s="10"/>
      <x:c r="C23" s="10"/>
      <x:c r="D23" s="11"/>
      <x:c r="E23" s="10"/>
      <x:c r="F23" s="10"/>
      <x:c r="G23" s="10"/>
      <x:c r="H23" s="10"/>
      <x:c r="I23" s="10"/>
      <x:c r="J23" s="9" t="str">
        <x:f>IF(AND(ISNUMBER(A23),ISNUMBER(B23),C23&lt;&gt;"",G23&lt;&gt;""),IF(F23="MULTIPLE PACK",H23*I23,H23),"")</x:f>
      </x:c>
      <x:c r="K23" s="9" t="str">
        <x:f>IF(AND(ISNUMBER(A23),ISNUMBER(B23),C23&lt;&gt;"",G23&lt;&gt;""),IF(COUNTIFS($A$7:A23,A23,$B$7:B23,B23,$C$7:C23,C23,$D$7:D23,D23)=1,B23-A23+1,0),"")</x:f>
      </x:c>
      <x:c r="L23" s="9" t="str">
        <x:f>IF(AND(ISNUMBER(A23),ISNUMBER(B23),C23&lt;&gt;"",G23&lt;&gt;""),(B23-A23+1)*J23,"")</x:f>
      </x:c>
      <x:c r="M23" s="12"/>
      <x:c r="N23" s="12"/>
      <x:c r="O23" s="12"/>
      <x:c r="P23" s="12"/>
      <x:c r="Q23" s="12"/>
      <x:c r="R23" s="13" t="str">
        <x:f>IF(AND(ISNUMBER(A23),ISNUMBER(B23),C23&lt;&gt;"",G23&lt;&gt;""),O23*P23*Q23/1000000,"")</x:f>
      </x:c>
      <x:c r="S23" s="13" t="str">
        <x:f>IF(AND(ISNUMBER(A23),ISNUMBER(B23),C23&lt;&gt;"",G23&lt;&gt;""),K23*R23,"")</x:f>
      </x:c>
      <x:c r="T23" s="13" t="str">
        <x:f>IF(AND(ISNUMBER(A23),ISNUMBER(B23),C23&lt;&gt;"",G23&lt;&gt;""),K23*M23,"")</x:f>
      </x:c>
      <x:c r="U23" s="13" t="str">
        <x:f>IF(AND(ISNUMBER(A23),ISNUMBER(B23),C23&lt;&gt;"",G23&lt;&gt;""),K23*N23,"")</x:f>
      </x:c>
    </x:row>
    <x:row r="24" ht="24" customHeight="1">
      <x:c r="A24" s="10"/>
      <x:c r="B24" s="10"/>
      <x:c r="C24" s="10"/>
      <x:c r="D24" s="11"/>
      <x:c r="E24" s="10"/>
      <x:c r="F24" s="10"/>
      <x:c r="G24" s="10"/>
      <x:c r="H24" s="10"/>
      <x:c r="I24" s="10"/>
      <x:c r="J24" s="9" t="str">
        <x:f>IF(AND(ISNUMBER(A24),ISNUMBER(B24),C24&lt;&gt;"",G24&lt;&gt;""),IF(F24="MULTIPLE PACK",H24*I24,H24),"")</x:f>
      </x:c>
      <x:c r="K24" s="9" t="str">
        <x:f>IF(AND(ISNUMBER(A24),ISNUMBER(B24),C24&lt;&gt;"",G24&lt;&gt;""),IF(COUNTIFS($A$7:A24,A24,$B$7:B24,B24,$C$7:C24,C24,$D$7:D24,D24)=1,B24-A24+1,0),"")</x:f>
      </x:c>
      <x:c r="L24" s="9" t="str">
        <x:f>IF(AND(ISNUMBER(A24),ISNUMBER(B24),C24&lt;&gt;"",G24&lt;&gt;""),(B24-A24+1)*J24,"")</x:f>
      </x:c>
      <x:c r="M24" s="12"/>
      <x:c r="N24" s="12"/>
      <x:c r="O24" s="12"/>
      <x:c r="P24" s="12"/>
      <x:c r="Q24" s="12"/>
      <x:c r="R24" s="13" t="str">
        <x:f>IF(AND(ISNUMBER(A24),ISNUMBER(B24),C24&lt;&gt;"",G24&lt;&gt;""),O24*P24*Q24/1000000,"")</x:f>
      </x:c>
      <x:c r="S24" s="13" t="str">
        <x:f>IF(AND(ISNUMBER(A24),ISNUMBER(B24),C24&lt;&gt;"",G24&lt;&gt;""),K24*R24,"")</x:f>
      </x:c>
      <x:c r="T24" s="13" t="str">
        <x:f>IF(AND(ISNUMBER(A24),ISNUMBER(B24),C24&lt;&gt;"",G24&lt;&gt;""),K24*M24,"")</x:f>
      </x:c>
      <x:c r="U24" s="13" t="str">
        <x:f>IF(AND(ISNUMBER(A24),ISNUMBER(B24),C24&lt;&gt;"",G24&lt;&gt;""),K24*N24,"")</x:f>
      </x:c>
    </x:row>
    <x:row r="25" ht="24" customHeight="1">
      <x:c r="A25" s="10"/>
      <x:c r="B25" s="10"/>
      <x:c r="C25" s="10"/>
      <x:c r="D25" s="11"/>
      <x:c r="E25" s="10"/>
      <x:c r="F25" s="10"/>
      <x:c r="G25" s="10"/>
      <x:c r="H25" s="10"/>
      <x:c r="I25" s="10"/>
      <x:c r="J25" s="9" t="str">
        <x:f>IF(AND(ISNUMBER(A25),ISNUMBER(B25),C25&lt;&gt;"",G25&lt;&gt;""),IF(F25="MULTIPLE PACK",H25*I25,H25),"")</x:f>
      </x:c>
      <x:c r="K25" s="9" t="str">
        <x:f>IF(AND(ISNUMBER(A25),ISNUMBER(B25),C25&lt;&gt;"",G25&lt;&gt;""),IF(COUNTIFS($A$7:A25,A25,$B$7:B25,B25,$C$7:C25,C25,$D$7:D25,D25)=1,B25-A25+1,0),"")</x:f>
      </x:c>
      <x:c r="L25" s="9" t="str">
        <x:f>IF(AND(ISNUMBER(A25),ISNUMBER(B25),C25&lt;&gt;"",G25&lt;&gt;""),(B25-A25+1)*J25,"")</x:f>
      </x:c>
      <x:c r="M25" s="12"/>
      <x:c r="N25" s="12"/>
      <x:c r="O25" s="12"/>
      <x:c r="P25" s="12"/>
      <x:c r="Q25" s="12"/>
      <x:c r="R25" s="13" t="str">
        <x:f>IF(AND(ISNUMBER(A25),ISNUMBER(B25),C25&lt;&gt;"",G25&lt;&gt;""),O25*P25*Q25/1000000,"")</x:f>
      </x:c>
      <x:c r="S25" s="13" t="str">
        <x:f>IF(AND(ISNUMBER(A25),ISNUMBER(B25),C25&lt;&gt;"",G25&lt;&gt;""),K25*R25,"")</x:f>
      </x:c>
      <x:c r="T25" s="13" t="str">
        <x:f>IF(AND(ISNUMBER(A25),ISNUMBER(B25),C25&lt;&gt;"",G25&lt;&gt;""),K25*M25,"")</x:f>
      </x:c>
      <x:c r="U25" s="13" t="str">
        <x:f>IF(AND(ISNUMBER(A25),ISNUMBER(B25),C25&lt;&gt;"",G25&lt;&gt;""),K25*N25,"")</x:f>
      </x:c>
    </x:row>
    <x:row r="26" ht="24" customHeight="1">
      <x:c r="A26" s="10"/>
      <x:c r="B26" s="10"/>
      <x:c r="C26" s="10"/>
      <x:c r="D26" s="11"/>
      <x:c r="E26" s="10"/>
      <x:c r="F26" s="10"/>
      <x:c r="G26" s="10"/>
      <x:c r="H26" s="10"/>
      <x:c r="I26" s="10"/>
      <x:c r="J26" s="9" t="str">
        <x:f>IF(AND(ISNUMBER(A26),ISNUMBER(B26),C26&lt;&gt;"",G26&lt;&gt;""),IF(F26="MULTIPLE PACK",H26*I26,H26),"")</x:f>
      </x:c>
      <x:c r="K26" s="9" t="str">
        <x:f>IF(AND(ISNUMBER(A26),ISNUMBER(B26),C26&lt;&gt;"",G26&lt;&gt;""),IF(COUNTIFS($A$7:A26,A26,$B$7:B26,B26,$C$7:C26,C26,$D$7:D26,D26)=1,B26-A26+1,0),"")</x:f>
      </x:c>
      <x:c r="L26" s="9" t="str">
        <x:f>IF(AND(ISNUMBER(A26),ISNUMBER(B26),C26&lt;&gt;"",G26&lt;&gt;""),(B26-A26+1)*J26,"")</x:f>
      </x:c>
      <x:c r="M26" s="12"/>
      <x:c r="N26" s="12"/>
      <x:c r="O26" s="12"/>
      <x:c r="P26" s="12"/>
      <x:c r="Q26" s="12"/>
      <x:c r="R26" s="13" t="str">
        <x:f>IF(AND(ISNUMBER(A26),ISNUMBER(B26),C26&lt;&gt;"",G26&lt;&gt;""),O26*P26*Q26/1000000,"")</x:f>
      </x:c>
      <x:c r="S26" s="13" t="str">
        <x:f>IF(AND(ISNUMBER(A26),ISNUMBER(B26),C26&lt;&gt;"",G26&lt;&gt;""),K26*R26,"")</x:f>
      </x:c>
      <x:c r="T26" s="13" t="str">
        <x:f>IF(AND(ISNUMBER(A26),ISNUMBER(B26),C26&lt;&gt;"",G26&lt;&gt;""),K26*M26,"")</x:f>
      </x:c>
      <x:c r="U26" s="13" t="str">
        <x:f>IF(AND(ISNUMBER(A26),ISNUMBER(B26),C26&lt;&gt;"",G26&lt;&gt;""),K26*N26,"")</x:f>
      </x:c>
    </x:row>
    <x:row r="27" ht="24" customHeight="1">
      <x:c r="A27" s="10"/>
      <x:c r="B27" s="10"/>
      <x:c r="C27" s="10"/>
      <x:c r="D27" s="11"/>
      <x:c r="E27" s="10"/>
      <x:c r="F27" s="10"/>
      <x:c r="G27" s="10"/>
      <x:c r="H27" s="10"/>
      <x:c r="I27" s="10"/>
      <x:c r="J27" s="9" t="str">
        <x:f>IF(AND(ISNUMBER(A27),ISNUMBER(B27),C27&lt;&gt;"",G27&lt;&gt;""),IF(F27="MULTIPLE PACK",H27*I27,H27),"")</x:f>
      </x:c>
      <x:c r="K27" s="9" t="str">
        <x:f>IF(AND(ISNUMBER(A27),ISNUMBER(B27),C27&lt;&gt;"",G27&lt;&gt;""),IF(COUNTIFS($A$7:A27,A27,$B$7:B27,B27,$C$7:C27,C27,$D$7:D27,D27)=1,B27-A27+1,0),"")</x:f>
      </x:c>
      <x:c r="L27" s="9" t="str">
        <x:f>IF(AND(ISNUMBER(A27),ISNUMBER(B27),C27&lt;&gt;"",G27&lt;&gt;""),(B27-A27+1)*J27,"")</x:f>
      </x:c>
      <x:c r="M27" s="12"/>
      <x:c r="N27" s="12"/>
      <x:c r="O27" s="12"/>
      <x:c r="P27" s="12"/>
      <x:c r="Q27" s="12"/>
      <x:c r="R27" s="13" t="str">
        <x:f>IF(AND(ISNUMBER(A27),ISNUMBER(B27),C27&lt;&gt;"",G27&lt;&gt;""),O27*P27*Q27/1000000,"")</x:f>
      </x:c>
      <x:c r="S27" s="13" t="str">
        <x:f>IF(AND(ISNUMBER(A27),ISNUMBER(B27),C27&lt;&gt;"",G27&lt;&gt;""),K27*R27,"")</x:f>
      </x:c>
      <x:c r="T27" s="13" t="str">
        <x:f>IF(AND(ISNUMBER(A27),ISNUMBER(B27),C27&lt;&gt;"",G27&lt;&gt;""),K27*M27,"")</x:f>
      </x:c>
      <x:c r="U27" s="13" t="str">
        <x:f>IF(AND(ISNUMBER(A27),ISNUMBER(B27),C27&lt;&gt;"",G27&lt;&gt;""),K27*N27,"")</x:f>
      </x:c>
    </x:row>
    <x:row r="28" ht="24" customHeight="1">
      <x:c r="A28" s="10"/>
      <x:c r="B28" s="10"/>
      <x:c r="C28" s="10"/>
      <x:c r="D28" s="11"/>
      <x:c r="E28" s="10"/>
      <x:c r="F28" s="10"/>
      <x:c r="G28" s="10"/>
      <x:c r="H28" s="10"/>
      <x:c r="I28" s="10"/>
      <x:c r="J28" s="9" t="str">
        <x:f>IF(AND(ISNUMBER(A28),ISNUMBER(B28),C28&lt;&gt;"",G28&lt;&gt;""),IF(F28="MULTIPLE PACK",H28*I28,H28),"")</x:f>
      </x:c>
      <x:c r="K28" s="9" t="str">
        <x:f>IF(AND(ISNUMBER(A28),ISNUMBER(B28),C28&lt;&gt;"",G28&lt;&gt;""),IF(COUNTIFS($A$7:A28,A28,$B$7:B28,B28,$C$7:C28,C28,$D$7:D28,D28)=1,B28-A28+1,0),"")</x:f>
      </x:c>
      <x:c r="L28" s="9" t="str">
        <x:f>IF(AND(ISNUMBER(A28),ISNUMBER(B28),C28&lt;&gt;"",G28&lt;&gt;""),(B28-A28+1)*J28,"")</x:f>
      </x:c>
      <x:c r="M28" s="12"/>
      <x:c r="N28" s="12"/>
      <x:c r="O28" s="12"/>
      <x:c r="P28" s="12"/>
      <x:c r="Q28" s="12"/>
      <x:c r="R28" s="13" t="str">
        <x:f>IF(AND(ISNUMBER(A28),ISNUMBER(B28),C28&lt;&gt;"",G28&lt;&gt;""),O28*P28*Q28/1000000,"")</x:f>
      </x:c>
      <x:c r="S28" s="13" t="str">
        <x:f>IF(AND(ISNUMBER(A28),ISNUMBER(B28),C28&lt;&gt;"",G28&lt;&gt;""),K28*R28,"")</x:f>
      </x:c>
      <x:c r="T28" s="13" t="str">
        <x:f>IF(AND(ISNUMBER(A28),ISNUMBER(B28),C28&lt;&gt;"",G28&lt;&gt;""),K28*M28,"")</x:f>
      </x:c>
      <x:c r="U28" s="13" t="str">
        <x:f>IF(AND(ISNUMBER(A28),ISNUMBER(B28),C28&lt;&gt;"",G28&lt;&gt;""),K28*N28,"")</x:f>
      </x:c>
    </x:row>
    <x:row r="29" ht="24" customHeight="1">
      <x:c r="A29" s="10"/>
      <x:c r="B29" s="10"/>
      <x:c r="C29" s="10"/>
      <x:c r="D29" s="11"/>
      <x:c r="E29" s="10"/>
      <x:c r="F29" s="10"/>
      <x:c r="G29" s="10"/>
      <x:c r="H29" s="10"/>
      <x:c r="I29" s="10"/>
      <x:c r="J29" s="9" t="str">
        <x:f>IF(AND(ISNUMBER(A29),ISNUMBER(B29),C29&lt;&gt;"",G29&lt;&gt;""),IF(F29="MULTIPLE PACK",H29*I29,H29),"")</x:f>
      </x:c>
      <x:c r="K29" s="9" t="str">
        <x:f>IF(AND(ISNUMBER(A29),ISNUMBER(B29),C29&lt;&gt;"",G29&lt;&gt;""),IF(COUNTIFS($A$7:A29,A29,$B$7:B29,B29,$C$7:C29,C29,$D$7:D29,D29)=1,B29-A29+1,0),"")</x:f>
      </x:c>
      <x:c r="L29" s="9" t="str">
        <x:f>IF(AND(ISNUMBER(A29),ISNUMBER(B29),C29&lt;&gt;"",G29&lt;&gt;""),(B29-A29+1)*J29,"")</x:f>
      </x:c>
      <x:c r="M29" s="12"/>
      <x:c r="N29" s="12"/>
      <x:c r="O29" s="12"/>
      <x:c r="P29" s="12"/>
      <x:c r="Q29" s="12"/>
      <x:c r="R29" s="13" t="str">
        <x:f>IF(AND(ISNUMBER(A29),ISNUMBER(B29),C29&lt;&gt;"",G29&lt;&gt;""),O29*P29*Q29/1000000,"")</x:f>
      </x:c>
      <x:c r="S29" s="13" t="str">
        <x:f>IF(AND(ISNUMBER(A29),ISNUMBER(B29),C29&lt;&gt;"",G29&lt;&gt;""),K29*R29,"")</x:f>
      </x:c>
      <x:c r="T29" s="13" t="str">
        <x:f>IF(AND(ISNUMBER(A29),ISNUMBER(B29),C29&lt;&gt;"",G29&lt;&gt;""),K29*M29,"")</x:f>
      </x:c>
      <x:c r="U29" s="13" t="str">
        <x:f>IF(AND(ISNUMBER(A29),ISNUMBER(B29),C29&lt;&gt;"",G29&lt;&gt;""),K29*N29,"")</x:f>
      </x:c>
    </x:row>
    <x:row r="30" ht="24" customHeight="1">
      <x:c r="A30" s="10"/>
      <x:c r="B30" s="10"/>
      <x:c r="C30" s="10"/>
      <x:c r="D30" s="11"/>
      <x:c r="E30" s="10"/>
      <x:c r="F30" s="10"/>
      <x:c r="G30" s="10"/>
      <x:c r="H30" s="10"/>
      <x:c r="I30" s="10"/>
      <x:c r="J30" s="9" t="str">
        <x:f>IF(AND(ISNUMBER(A30),ISNUMBER(B30),C30&lt;&gt;"",G30&lt;&gt;""),IF(F30="MULTIPLE PACK",H30*I30,H30),"")</x:f>
      </x:c>
      <x:c r="K30" s="9" t="str">
        <x:f>IF(AND(ISNUMBER(A30),ISNUMBER(B30),C30&lt;&gt;"",G30&lt;&gt;""),IF(COUNTIFS($A$7:A30,A30,$B$7:B30,B30,$C$7:C30,C30,$D$7:D30,D30)=1,B30-A30+1,0),"")</x:f>
      </x:c>
      <x:c r="L30" s="9" t="str">
        <x:f>IF(AND(ISNUMBER(A30),ISNUMBER(B30),C30&lt;&gt;"",G30&lt;&gt;""),(B30-A30+1)*J30,"")</x:f>
      </x:c>
      <x:c r="M30" s="12"/>
      <x:c r="N30" s="12"/>
      <x:c r="O30" s="12"/>
      <x:c r="P30" s="12"/>
      <x:c r="Q30" s="12"/>
      <x:c r="R30" s="13" t="str">
        <x:f>IF(AND(ISNUMBER(A30),ISNUMBER(B30),C30&lt;&gt;"",G30&lt;&gt;""),O30*P30*Q30/1000000,"")</x:f>
      </x:c>
      <x:c r="S30" s="13" t="str">
        <x:f>IF(AND(ISNUMBER(A30),ISNUMBER(B30),C30&lt;&gt;"",G30&lt;&gt;""),K30*R30,"")</x:f>
      </x:c>
      <x:c r="T30" s="13" t="str">
        <x:f>IF(AND(ISNUMBER(A30),ISNUMBER(B30),C30&lt;&gt;"",G30&lt;&gt;""),K30*M30,"")</x:f>
      </x:c>
      <x:c r="U30" s="13" t="str">
        <x:f>IF(AND(ISNUMBER(A30),ISNUMBER(B30),C30&lt;&gt;"",G30&lt;&gt;""),K30*N30,"")</x:f>
      </x:c>
    </x:row>
    <x:row r="31" ht="24" customHeight="1">
      <x:c r="A31" s="10"/>
      <x:c r="B31" s="10"/>
      <x:c r="C31" s="10"/>
      <x:c r="D31" s="11"/>
      <x:c r="E31" s="10"/>
      <x:c r="F31" s="10"/>
      <x:c r="G31" s="10"/>
      <x:c r="H31" s="10"/>
      <x:c r="I31" s="10"/>
      <x:c r="J31" s="9" t="str">
        <x:f>IF(AND(ISNUMBER(A31),ISNUMBER(B31),C31&lt;&gt;"",G31&lt;&gt;""),IF(F31="MULTIPLE PACK",H31*I31,H31),"")</x:f>
      </x:c>
      <x:c r="K31" s="9" t="str">
        <x:f>IF(AND(ISNUMBER(A31),ISNUMBER(B31),C31&lt;&gt;"",G31&lt;&gt;""),IF(COUNTIFS($A$7:A31,A31,$B$7:B31,B31,$C$7:C31,C31,$D$7:D31,D31)=1,B31-A31+1,0),"")</x:f>
      </x:c>
      <x:c r="L31" s="9" t="str">
        <x:f>IF(AND(ISNUMBER(A31),ISNUMBER(B31),C31&lt;&gt;"",G31&lt;&gt;""),(B31-A31+1)*J31,"")</x:f>
      </x:c>
      <x:c r="M31" s="12"/>
      <x:c r="N31" s="12"/>
      <x:c r="O31" s="12"/>
      <x:c r="P31" s="12"/>
      <x:c r="Q31" s="12"/>
      <x:c r="R31" s="13" t="str">
        <x:f>IF(AND(ISNUMBER(A31),ISNUMBER(B31),C31&lt;&gt;"",G31&lt;&gt;""),O31*P31*Q31/1000000,"")</x:f>
      </x:c>
      <x:c r="S31" s="13" t="str">
        <x:f>IF(AND(ISNUMBER(A31),ISNUMBER(B31),C31&lt;&gt;"",G31&lt;&gt;""),K31*R31,"")</x:f>
      </x:c>
      <x:c r="T31" s="13" t="str">
        <x:f>IF(AND(ISNUMBER(A31),ISNUMBER(B31),C31&lt;&gt;"",G31&lt;&gt;""),K31*M31,"")</x:f>
      </x:c>
      <x:c r="U31" s="13" t="str">
        <x:f>IF(AND(ISNUMBER(A31),ISNUMBER(B31),C31&lt;&gt;"",G31&lt;&gt;""),K31*N31,"")</x:f>
      </x:c>
    </x:row>
    <x:row r="32" ht="24" customHeight="1">
      <x:c r="A32" s="10"/>
      <x:c r="B32" s="10"/>
      <x:c r="C32" s="10"/>
      <x:c r="D32" s="11"/>
      <x:c r="E32" s="10"/>
      <x:c r="F32" s="10"/>
      <x:c r="G32" s="10"/>
      <x:c r="H32" s="10"/>
      <x:c r="I32" s="10"/>
      <x:c r="J32" s="9" t="str">
        <x:f>IF(AND(ISNUMBER(A32),ISNUMBER(B32),C32&lt;&gt;"",G32&lt;&gt;""),IF(F32="MULTIPLE PACK",H32*I32,H32),"")</x:f>
      </x:c>
      <x:c r="K32" s="9" t="str">
        <x:f>IF(AND(ISNUMBER(A32),ISNUMBER(B32),C32&lt;&gt;"",G32&lt;&gt;""),IF(COUNTIFS($A$7:A32,A32,$B$7:B32,B32,$C$7:C32,C32,$D$7:D32,D32)=1,B32-A32+1,0),"")</x:f>
      </x:c>
      <x:c r="L32" s="9" t="str">
        <x:f>IF(AND(ISNUMBER(A32),ISNUMBER(B32),C32&lt;&gt;"",G32&lt;&gt;""),(B32-A32+1)*J32,"")</x:f>
      </x:c>
      <x:c r="M32" s="12"/>
      <x:c r="N32" s="12"/>
      <x:c r="O32" s="12"/>
      <x:c r="P32" s="12"/>
      <x:c r="Q32" s="12"/>
      <x:c r="R32" s="13" t="str">
        <x:f>IF(AND(ISNUMBER(A32),ISNUMBER(B32),C32&lt;&gt;"",G32&lt;&gt;""),O32*P32*Q32/1000000,"")</x:f>
      </x:c>
      <x:c r="S32" s="13" t="str">
        <x:f>IF(AND(ISNUMBER(A32),ISNUMBER(B32),C32&lt;&gt;"",G32&lt;&gt;""),K32*R32,"")</x:f>
      </x:c>
      <x:c r="T32" s="13" t="str">
        <x:f>IF(AND(ISNUMBER(A32),ISNUMBER(B32),C32&lt;&gt;"",G32&lt;&gt;""),K32*M32,"")</x:f>
      </x:c>
      <x:c r="U32" s="13" t="str">
        <x:f>IF(AND(ISNUMBER(A32),ISNUMBER(B32),C32&lt;&gt;"",G32&lt;&gt;""),K32*N32,"")</x:f>
      </x:c>
    </x:row>
    <x:row r="33" ht="24" customHeight="1">
      <x:c r="A33" s="10"/>
      <x:c r="B33" s="10"/>
      <x:c r="C33" s="10"/>
      <x:c r="D33" s="11"/>
      <x:c r="E33" s="10"/>
      <x:c r="F33" s="10"/>
      <x:c r="G33" s="10"/>
      <x:c r="H33" s="10"/>
      <x:c r="I33" s="10"/>
      <x:c r="J33" s="9" t="str">
        <x:f>IF(AND(ISNUMBER(A33),ISNUMBER(B33),C33&lt;&gt;"",G33&lt;&gt;""),IF(F33="MULTIPLE PACK",H33*I33,H33),"")</x:f>
      </x:c>
      <x:c r="K33" s="9" t="str">
        <x:f>IF(AND(ISNUMBER(A33),ISNUMBER(B33),C33&lt;&gt;"",G33&lt;&gt;""),IF(COUNTIFS($A$7:A33,A33,$B$7:B33,B33,$C$7:C33,C33,$D$7:D33,D33)=1,B33-A33+1,0),"")</x:f>
      </x:c>
      <x:c r="L33" s="9" t="str">
        <x:f>IF(AND(ISNUMBER(A33),ISNUMBER(B33),C33&lt;&gt;"",G33&lt;&gt;""),(B33-A33+1)*J33,"")</x:f>
      </x:c>
      <x:c r="M33" s="12"/>
      <x:c r="N33" s="12"/>
      <x:c r="O33" s="12"/>
      <x:c r="P33" s="12"/>
      <x:c r="Q33" s="12"/>
      <x:c r="R33" s="13" t="str">
        <x:f>IF(AND(ISNUMBER(A33),ISNUMBER(B33),C33&lt;&gt;"",G33&lt;&gt;""),O33*P33*Q33/1000000,"")</x:f>
      </x:c>
      <x:c r="S33" s="13" t="str">
        <x:f>IF(AND(ISNUMBER(A33),ISNUMBER(B33),C33&lt;&gt;"",G33&lt;&gt;""),K33*R33,"")</x:f>
      </x:c>
      <x:c r="T33" s="13" t="str">
        <x:f>IF(AND(ISNUMBER(A33),ISNUMBER(B33),C33&lt;&gt;"",G33&lt;&gt;""),K33*M33,"")</x:f>
      </x:c>
      <x:c r="U33" s="13" t="str">
        <x:f>IF(AND(ISNUMBER(A33),ISNUMBER(B33),C33&lt;&gt;"",G33&lt;&gt;""),K33*N33,"")</x:f>
      </x:c>
    </x:row>
    <x:row r="34" ht="24" customHeight="1">
      <x:c r="A34" s="10"/>
      <x:c r="B34" s="10"/>
      <x:c r="C34" s="10"/>
      <x:c r="D34" s="11"/>
      <x:c r="E34" s="10"/>
      <x:c r="F34" s="10"/>
      <x:c r="G34" s="10"/>
      <x:c r="H34" s="10"/>
      <x:c r="I34" s="10"/>
      <x:c r="J34" s="9" t="str">
        <x:f>IF(AND(ISNUMBER(A34),ISNUMBER(B34),C34&lt;&gt;"",G34&lt;&gt;""),IF(F34="MULTIPLE PACK",H34*I34,H34),"")</x:f>
      </x:c>
      <x:c r="K34" s="9" t="str">
        <x:f>IF(AND(ISNUMBER(A34),ISNUMBER(B34),C34&lt;&gt;"",G34&lt;&gt;""),IF(COUNTIFS($A$7:A34,A34,$B$7:B34,B34,$C$7:C34,C34,$D$7:D34,D34)=1,B34-A34+1,0),"")</x:f>
      </x:c>
      <x:c r="L34" s="9" t="str">
        <x:f>IF(AND(ISNUMBER(A34),ISNUMBER(B34),C34&lt;&gt;"",G34&lt;&gt;""),(B34-A34+1)*J34,"")</x:f>
      </x:c>
      <x:c r="M34" s="12"/>
      <x:c r="N34" s="12"/>
      <x:c r="O34" s="12"/>
      <x:c r="P34" s="12"/>
      <x:c r="Q34" s="12"/>
      <x:c r="R34" s="13" t="str">
        <x:f>IF(AND(ISNUMBER(A34),ISNUMBER(B34),C34&lt;&gt;"",G34&lt;&gt;""),O34*P34*Q34/1000000,"")</x:f>
      </x:c>
      <x:c r="S34" s="13" t="str">
        <x:f>IF(AND(ISNUMBER(A34),ISNUMBER(B34),C34&lt;&gt;"",G34&lt;&gt;""),K34*R34,"")</x:f>
      </x:c>
      <x:c r="T34" s="13" t="str">
        <x:f>IF(AND(ISNUMBER(A34),ISNUMBER(B34),C34&lt;&gt;"",G34&lt;&gt;""),K34*M34,"")</x:f>
      </x:c>
      <x:c r="U34" s="13" t="str">
        <x:f>IF(AND(ISNUMBER(A34),ISNUMBER(B34),C34&lt;&gt;"",G34&lt;&gt;""),K34*N34,"")</x:f>
      </x:c>
    </x:row>
    <x:row r="35" ht="24" customHeight="1">
      <x:c r="A35" s="10"/>
      <x:c r="B35" s="10"/>
      <x:c r="C35" s="10"/>
      <x:c r="D35" s="11"/>
      <x:c r="E35" s="10"/>
      <x:c r="F35" s="10"/>
      <x:c r="G35" s="10"/>
      <x:c r="H35" s="10"/>
      <x:c r="I35" s="10"/>
      <x:c r="J35" s="9" t="str">
        <x:f>IF(AND(ISNUMBER(A35),ISNUMBER(B35),C35&lt;&gt;"",G35&lt;&gt;""),IF(F35="MULTIPLE PACK",H35*I35,H35),"")</x:f>
      </x:c>
      <x:c r="K35" s="9" t="str">
        <x:f>IF(AND(ISNUMBER(A35),ISNUMBER(B35),C35&lt;&gt;"",G35&lt;&gt;""),IF(COUNTIFS($A$7:A35,A35,$B$7:B35,B35,$C$7:C35,C35,$D$7:D35,D35)=1,B35-A35+1,0),"")</x:f>
      </x:c>
      <x:c r="L35" s="9" t="str">
        <x:f>IF(AND(ISNUMBER(A35),ISNUMBER(B35),C35&lt;&gt;"",G35&lt;&gt;""),(B35-A35+1)*J35,"")</x:f>
      </x:c>
      <x:c r="M35" s="12"/>
      <x:c r="N35" s="12"/>
      <x:c r="O35" s="12"/>
      <x:c r="P35" s="12"/>
      <x:c r="Q35" s="12"/>
      <x:c r="R35" s="13" t="str">
        <x:f>IF(AND(ISNUMBER(A35),ISNUMBER(B35),C35&lt;&gt;"",G35&lt;&gt;""),O35*P35*Q35/1000000,"")</x:f>
      </x:c>
      <x:c r="S35" s="13" t="str">
        <x:f>IF(AND(ISNUMBER(A35),ISNUMBER(B35),C35&lt;&gt;"",G35&lt;&gt;""),K35*R35,"")</x:f>
      </x:c>
      <x:c r="T35" s="13" t="str">
        <x:f>IF(AND(ISNUMBER(A35),ISNUMBER(B35),C35&lt;&gt;"",G35&lt;&gt;""),K35*M35,"")</x:f>
      </x:c>
      <x:c r="U35" s="13" t="str">
        <x:f>IF(AND(ISNUMBER(A35),ISNUMBER(B35),C35&lt;&gt;"",G35&lt;&gt;""),K35*N35,"")</x:f>
      </x:c>
    </x:row>
    <x:row r="36" ht="24" customHeight="1">
      <x:c r="A36" s="10"/>
      <x:c r="B36" s="10"/>
      <x:c r="C36" s="10"/>
      <x:c r="D36" s="11"/>
      <x:c r="E36" s="10"/>
      <x:c r="F36" s="10"/>
      <x:c r="G36" s="10"/>
      <x:c r="H36" s="10"/>
      <x:c r="I36" s="10"/>
      <x:c r="J36" s="9" t="str">
        <x:f>IF(AND(ISNUMBER(A36),ISNUMBER(B36),C36&lt;&gt;"",G36&lt;&gt;""),IF(F36="MULTIPLE PACK",H36*I36,H36),"")</x:f>
      </x:c>
      <x:c r="K36" s="9" t="str">
        <x:f>IF(AND(ISNUMBER(A36),ISNUMBER(B36),C36&lt;&gt;"",G36&lt;&gt;""),IF(COUNTIFS($A$7:A36,A36,$B$7:B36,B36,$C$7:C36,C36,$D$7:D36,D36)=1,B36-A36+1,0),"")</x:f>
      </x:c>
      <x:c r="L36" s="9" t="str">
        <x:f>IF(AND(ISNUMBER(A36),ISNUMBER(B36),C36&lt;&gt;"",G36&lt;&gt;""),(B36-A36+1)*J36,"")</x:f>
      </x:c>
      <x:c r="M36" s="12"/>
      <x:c r="N36" s="12"/>
      <x:c r="O36" s="12"/>
      <x:c r="P36" s="12"/>
      <x:c r="Q36" s="12"/>
      <x:c r="R36" s="13" t="str">
        <x:f>IF(AND(ISNUMBER(A36),ISNUMBER(B36),C36&lt;&gt;"",G36&lt;&gt;""),O36*P36*Q36/1000000,"")</x:f>
      </x:c>
      <x:c r="S36" s="13" t="str">
        <x:f>IF(AND(ISNUMBER(A36),ISNUMBER(B36),C36&lt;&gt;"",G36&lt;&gt;""),K36*R36,"")</x:f>
      </x:c>
      <x:c r="T36" s="13" t="str">
        <x:f>IF(AND(ISNUMBER(A36),ISNUMBER(B36),C36&lt;&gt;"",G36&lt;&gt;""),K36*M36,"")</x:f>
      </x:c>
      <x:c r="U36" s="13" t="str">
        <x:f>IF(AND(ISNUMBER(A36),ISNUMBER(B36),C36&lt;&gt;"",G36&lt;&gt;""),K36*N36,"")</x:f>
      </x:c>
    </x:row>
    <x:row r="37" ht="24" customHeight="1">
      <x:c r="A37" s="10"/>
      <x:c r="B37" s="10"/>
      <x:c r="C37" s="10"/>
      <x:c r="D37" s="11"/>
      <x:c r="E37" s="10"/>
      <x:c r="F37" s="10"/>
      <x:c r="G37" s="10"/>
      <x:c r="H37" s="10"/>
      <x:c r="I37" s="10"/>
      <x:c r="J37" s="9" t="str">
        <x:f>IF(AND(ISNUMBER(A37),ISNUMBER(B37),C37&lt;&gt;"",G37&lt;&gt;""),IF(F37="MULTIPLE PACK",H37*I37,H37),"")</x:f>
      </x:c>
      <x:c r="K37" s="9" t="str">
        <x:f>IF(AND(ISNUMBER(A37),ISNUMBER(B37),C37&lt;&gt;"",G37&lt;&gt;""),IF(COUNTIFS($A$7:A37,A37,$B$7:B37,B37,$C$7:C37,C37,$D$7:D37,D37)=1,B37-A37+1,0),"")</x:f>
      </x:c>
      <x:c r="L37" s="9" t="str">
        <x:f>IF(AND(ISNUMBER(A37),ISNUMBER(B37),C37&lt;&gt;"",G37&lt;&gt;""),(B37-A37+1)*J37,"")</x:f>
      </x:c>
      <x:c r="M37" s="12"/>
      <x:c r="N37" s="12"/>
      <x:c r="O37" s="12"/>
      <x:c r="P37" s="12"/>
      <x:c r="Q37" s="12"/>
      <x:c r="R37" s="13" t="str">
        <x:f>IF(AND(ISNUMBER(A37),ISNUMBER(B37),C37&lt;&gt;"",G37&lt;&gt;""),O37*P37*Q37/1000000,"")</x:f>
      </x:c>
      <x:c r="S37" s="13" t="str">
        <x:f>IF(AND(ISNUMBER(A37),ISNUMBER(B37),C37&lt;&gt;"",G37&lt;&gt;""),K37*R37,"")</x:f>
      </x:c>
      <x:c r="T37" s="13" t="str">
        <x:f>IF(AND(ISNUMBER(A37),ISNUMBER(B37),C37&lt;&gt;"",G37&lt;&gt;""),K37*M37,"")</x:f>
      </x:c>
      <x:c r="U37" s="13" t="str">
        <x:f>IF(AND(ISNUMBER(A37),ISNUMBER(B37),C37&lt;&gt;"",G37&lt;&gt;""),K37*N37,"")</x:f>
      </x:c>
    </x:row>
    <x:row r="38" ht="24" customHeight="1">
      <x:c r="A38" s="10"/>
      <x:c r="B38" s="10"/>
      <x:c r="C38" s="10"/>
      <x:c r="D38" s="11"/>
      <x:c r="E38" s="10"/>
      <x:c r="F38" s="10"/>
      <x:c r="G38" s="10"/>
      <x:c r="H38" s="10"/>
      <x:c r="I38" s="10"/>
      <x:c r="J38" s="9" t="str">
        <x:f>IF(AND(ISNUMBER(A38),ISNUMBER(B38),C38&lt;&gt;"",G38&lt;&gt;""),IF(F38="MULTIPLE PACK",H38*I38,H38),"")</x:f>
      </x:c>
      <x:c r="K38" s="9" t="str">
        <x:f>IF(AND(ISNUMBER(A38),ISNUMBER(B38),C38&lt;&gt;"",G38&lt;&gt;""),IF(COUNTIFS($A$7:A38,A38,$B$7:B38,B38,$C$7:C38,C38,$D$7:D38,D38)=1,B38-A38+1,0),"")</x:f>
      </x:c>
      <x:c r="L38" s="9" t="str">
        <x:f>IF(AND(ISNUMBER(A38),ISNUMBER(B38),C38&lt;&gt;"",G38&lt;&gt;""),(B38-A38+1)*J38,"")</x:f>
      </x:c>
      <x:c r="M38" s="12"/>
      <x:c r="N38" s="12"/>
      <x:c r="O38" s="12"/>
      <x:c r="P38" s="12"/>
      <x:c r="Q38" s="12"/>
      <x:c r="R38" s="13" t="str">
        <x:f>IF(AND(ISNUMBER(A38),ISNUMBER(B38),C38&lt;&gt;"",G38&lt;&gt;""),O38*P38*Q38/1000000,"")</x:f>
      </x:c>
      <x:c r="S38" s="13" t="str">
        <x:f>IF(AND(ISNUMBER(A38),ISNUMBER(B38),C38&lt;&gt;"",G38&lt;&gt;""),K38*R38,"")</x:f>
      </x:c>
      <x:c r="T38" s="13" t="str">
        <x:f>IF(AND(ISNUMBER(A38),ISNUMBER(B38),C38&lt;&gt;"",G38&lt;&gt;""),K38*M38,"")</x:f>
      </x:c>
      <x:c r="U38" s="13" t="str">
        <x:f>IF(AND(ISNUMBER(A38),ISNUMBER(B38),C38&lt;&gt;"",G38&lt;&gt;""),K38*N38,"")</x:f>
      </x:c>
    </x:row>
    <x:row r="39" ht="24" customHeight="1">
      <x:c r="A39" s="10"/>
      <x:c r="B39" s="10"/>
      <x:c r="C39" s="10"/>
      <x:c r="D39" s="11"/>
      <x:c r="E39" s="10"/>
      <x:c r="F39" s="10"/>
      <x:c r="G39" s="10"/>
      <x:c r="H39" s="10"/>
      <x:c r="I39" s="10"/>
      <x:c r="J39" s="9" t="str">
        <x:f>IF(AND(ISNUMBER(A39),ISNUMBER(B39),C39&lt;&gt;"",G39&lt;&gt;""),IF(F39="MULTIPLE PACK",H39*I39,H39),"")</x:f>
      </x:c>
      <x:c r="K39" s="9" t="str">
        <x:f>IF(AND(ISNUMBER(A39),ISNUMBER(B39),C39&lt;&gt;"",G39&lt;&gt;""),IF(COUNTIFS($A$7:A39,A39,$B$7:B39,B39,$C$7:C39,C39,$D$7:D39,D39)=1,B39-A39+1,0),"")</x:f>
      </x:c>
      <x:c r="L39" s="9" t="str">
        <x:f>IF(AND(ISNUMBER(A39),ISNUMBER(B39),C39&lt;&gt;"",G39&lt;&gt;""),(B39-A39+1)*J39,"")</x:f>
      </x:c>
      <x:c r="M39" s="12"/>
      <x:c r="N39" s="12"/>
      <x:c r="O39" s="12"/>
      <x:c r="P39" s="12"/>
      <x:c r="Q39" s="12"/>
      <x:c r="R39" s="13" t="str">
        <x:f>IF(AND(ISNUMBER(A39),ISNUMBER(B39),C39&lt;&gt;"",G39&lt;&gt;""),O39*P39*Q39/1000000,"")</x:f>
      </x:c>
      <x:c r="S39" s="13" t="str">
        <x:f>IF(AND(ISNUMBER(A39),ISNUMBER(B39),C39&lt;&gt;"",G39&lt;&gt;""),K39*R39,"")</x:f>
      </x:c>
      <x:c r="T39" s="13" t="str">
        <x:f>IF(AND(ISNUMBER(A39),ISNUMBER(B39),C39&lt;&gt;"",G39&lt;&gt;""),K39*M39,"")</x:f>
      </x:c>
      <x:c r="U39" s="13" t="str">
        <x:f>IF(AND(ISNUMBER(A39),ISNUMBER(B39),C39&lt;&gt;"",G39&lt;&gt;""),K39*N39,"")</x:f>
      </x:c>
    </x:row>
    <x:row r="40" ht="24" customHeight="1">
      <x:c r="A40" s="10"/>
      <x:c r="B40" s="10"/>
      <x:c r="C40" s="10"/>
      <x:c r="D40" s="11"/>
      <x:c r="E40" s="10"/>
      <x:c r="F40" s="10"/>
      <x:c r="G40" s="10"/>
      <x:c r="H40" s="10"/>
      <x:c r="I40" s="10"/>
      <x:c r="J40" s="9" t="str">
        <x:f>IF(AND(ISNUMBER(A40),ISNUMBER(B40),C40&lt;&gt;"",G40&lt;&gt;""),IF(F40="MULTIPLE PACK",H40*I40,H40),"")</x:f>
      </x:c>
      <x:c r="K40" s="9" t="str">
        <x:f>IF(AND(ISNUMBER(A40),ISNUMBER(B40),C40&lt;&gt;"",G40&lt;&gt;""),IF(COUNTIFS($A$7:A40,A40,$B$7:B40,B40,$C$7:C40,C40,$D$7:D40,D40)=1,B40-A40+1,0),"")</x:f>
      </x:c>
      <x:c r="L40" s="9" t="str">
        <x:f>IF(AND(ISNUMBER(A40),ISNUMBER(B40),C40&lt;&gt;"",G40&lt;&gt;""),(B40-A40+1)*J40,"")</x:f>
      </x:c>
      <x:c r="M40" s="12"/>
      <x:c r="N40" s="12"/>
      <x:c r="O40" s="12"/>
      <x:c r="P40" s="12"/>
      <x:c r="Q40" s="12"/>
      <x:c r="R40" s="13" t="str">
        <x:f>IF(AND(ISNUMBER(A40),ISNUMBER(B40),C40&lt;&gt;"",G40&lt;&gt;""),O40*P40*Q40/1000000,"")</x:f>
      </x:c>
      <x:c r="S40" s="13" t="str">
        <x:f>IF(AND(ISNUMBER(A40),ISNUMBER(B40),C40&lt;&gt;"",G40&lt;&gt;""),K40*R40,"")</x:f>
      </x:c>
      <x:c r="T40" s="13" t="str">
        <x:f>IF(AND(ISNUMBER(A40),ISNUMBER(B40),C40&lt;&gt;"",G40&lt;&gt;""),K40*M40,"")</x:f>
      </x:c>
      <x:c r="U40" s="13" t="str">
        <x:f>IF(AND(ISNUMBER(A40),ISNUMBER(B40),C40&lt;&gt;"",G40&lt;&gt;""),K40*N40,"")</x:f>
      </x:c>
    </x:row>
    <x:row r="41" ht="24" customHeight="1">
      <x:c r="A41" s="10"/>
      <x:c r="B41" s="10"/>
      <x:c r="C41" s="10"/>
      <x:c r="D41" s="11"/>
      <x:c r="E41" s="10"/>
      <x:c r="F41" s="10"/>
      <x:c r="G41" s="10"/>
      <x:c r="H41" s="10"/>
      <x:c r="I41" s="10"/>
      <x:c r="J41" s="9" t="str">
        <x:f>IF(AND(ISNUMBER(A41),ISNUMBER(B41),C41&lt;&gt;"",G41&lt;&gt;""),IF(F41="MULTIPLE PACK",H41*I41,H41),"")</x:f>
      </x:c>
      <x:c r="K41" s="9" t="str">
        <x:f>IF(AND(ISNUMBER(A41),ISNUMBER(B41),C41&lt;&gt;"",G41&lt;&gt;""),IF(COUNTIFS($A$7:A41,A41,$B$7:B41,B41,$C$7:C41,C41,$D$7:D41,D41)=1,B41-A41+1,0),"")</x:f>
      </x:c>
      <x:c r="L41" s="9" t="str">
        <x:f>IF(AND(ISNUMBER(A41),ISNUMBER(B41),C41&lt;&gt;"",G41&lt;&gt;""),(B41-A41+1)*J41,"")</x:f>
      </x:c>
      <x:c r="M41" s="12"/>
      <x:c r="N41" s="12"/>
      <x:c r="O41" s="12"/>
      <x:c r="P41" s="12"/>
      <x:c r="Q41" s="12"/>
      <x:c r="R41" s="13" t="str">
        <x:f>IF(AND(ISNUMBER(A41),ISNUMBER(B41),C41&lt;&gt;"",G41&lt;&gt;""),O41*P41*Q41/1000000,"")</x:f>
      </x:c>
      <x:c r="S41" s="13" t="str">
        <x:f>IF(AND(ISNUMBER(A41),ISNUMBER(B41),C41&lt;&gt;"",G41&lt;&gt;""),K41*R41,"")</x:f>
      </x:c>
      <x:c r="T41" s="13" t="str">
        <x:f>IF(AND(ISNUMBER(A41),ISNUMBER(B41),C41&lt;&gt;"",G41&lt;&gt;""),K41*M41,"")</x:f>
      </x:c>
      <x:c r="U41" s="13" t="str">
        <x:f>IF(AND(ISNUMBER(A41),ISNUMBER(B41),C41&lt;&gt;"",G41&lt;&gt;""),K41*N41,"")</x:f>
      </x:c>
    </x:row>
    <x:row r="42" ht="24" customHeight="1">
      <x:c r="A42" s="10"/>
      <x:c r="B42" s="10"/>
      <x:c r="C42" s="10"/>
      <x:c r="D42" s="11"/>
      <x:c r="E42" s="10"/>
      <x:c r="F42" s="10"/>
      <x:c r="G42" s="10"/>
      <x:c r="H42" s="10"/>
      <x:c r="I42" s="10"/>
      <x:c r="J42" s="9" t="str">
        <x:f>IF(AND(ISNUMBER(A42),ISNUMBER(B42),C42&lt;&gt;"",G42&lt;&gt;""),IF(F42="MULTIPLE PACK",H42*I42,H42),"")</x:f>
      </x:c>
      <x:c r="K42" s="9" t="str">
        <x:f>IF(AND(ISNUMBER(A42),ISNUMBER(B42),C42&lt;&gt;"",G42&lt;&gt;""),IF(COUNTIFS($A$7:A42,A42,$B$7:B42,B42,$C$7:C42,C42,$D$7:D42,D42)=1,B42-A42+1,0),"")</x:f>
      </x:c>
      <x:c r="L42" s="9" t="str">
        <x:f>IF(AND(ISNUMBER(A42),ISNUMBER(B42),C42&lt;&gt;"",G42&lt;&gt;""),(B42-A42+1)*J42,"")</x:f>
      </x:c>
      <x:c r="M42" s="12"/>
      <x:c r="N42" s="12"/>
      <x:c r="O42" s="12"/>
      <x:c r="P42" s="12"/>
      <x:c r="Q42" s="12"/>
      <x:c r="R42" s="13" t="str">
        <x:f>IF(AND(ISNUMBER(A42),ISNUMBER(B42),C42&lt;&gt;"",G42&lt;&gt;""),O42*P42*Q42/1000000,"")</x:f>
      </x:c>
      <x:c r="S42" s="13" t="str">
        <x:f>IF(AND(ISNUMBER(A42),ISNUMBER(B42),C42&lt;&gt;"",G42&lt;&gt;""),K42*R42,"")</x:f>
      </x:c>
      <x:c r="T42" s="13" t="str">
        <x:f>IF(AND(ISNUMBER(A42),ISNUMBER(B42),C42&lt;&gt;"",G42&lt;&gt;""),K42*M42,"")</x:f>
      </x:c>
      <x:c r="U42" s="13" t="str">
        <x:f>IF(AND(ISNUMBER(A42),ISNUMBER(B42),C42&lt;&gt;"",G42&lt;&gt;""),K42*N42,"")</x:f>
      </x:c>
    </x:row>
    <x:row r="43" ht="24" customHeight="1">
      <x:c r="A43" s="10"/>
      <x:c r="B43" s="10"/>
      <x:c r="C43" s="10"/>
      <x:c r="D43" s="11"/>
      <x:c r="E43" s="10"/>
      <x:c r="F43" s="10"/>
      <x:c r="G43" s="10"/>
      <x:c r="H43" s="10"/>
      <x:c r="I43" s="10"/>
      <x:c r="J43" s="9" t="str">
        <x:f>IF(AND(ISNUMBER(A43),ISNUMBER(B43),C43&lt;&gt;"",G43&lt;&gt;""),IF(F43="MULTIPLE PACK",H43*I43,H43),"")</x:f>
      </x:c>
      <x:c r="K43" s="9" t="str">
        <x:f>IF(AND(ISNUMBER(A43),ISNUMBER(B43),C43&lt;&gt;"",G43&lt;&gt;""),IF(COUNTIFS($A$7:A43,A43,$B$7:B43,B43,$C$7:C43,C43,$D$7:D43,D43)=1,B43-A43+1,0),"")</x:f>
      </x:c>
      <x:c r="L43" s="9" t="str">
        <x:f>IF(AND(ISNUMBER(A43),ISNUMBER(B43),C43&lt;&gt;"",G43&lt;&gt;""),(B43-A43+1)*J43,"")</x:f>
      </x:c>
      <x:c r="M43" s="12"/>
      <x:c r="N43" s="12"/>
      <x:c r="O43" s="12"/>
      <x:c r="P43" s="12"/>
      <x:c r="Q43" s="12"/>
      <x:c r="R43" s="13" t="str">
        <x:f>IF(AND(ISNUMBER(A43),ISNUMBER(B43),C43&lt;&gt;"",G43&lt;&gt;""),O43*P43*Q43/1000000,"")</x:f>
      </x:c>
      <x:c r="S43" s="13" t="str">
        <x:f>IF(AND(ISNUMBER(A43),ISNUMBER(B43),C43&lt;&gt;"",G43&lt;&gt;""),K43*R43,"")</x:f>
      </x:c>
      <x:c r="T43" s="13" t="str">
        <x:f>IF(AND(ISNUMBER(A43),ISNUMBER(B43),C43&lt;&gt;"",G43&lt;&gt;""),K43*M43,"")</x:f>
      </x:c>
      <x:c r="U43" s="13" t="str">
        <x:f>IF(AND(ISNUMBER(A43),ISNUMBER(B43),C43&lt;&gt;"",G43&lt;&gt;""),K43*N43,"")</x:f>
      </x:c>
    </x:row>
    <x:row r="44" ht="24" customHeight="1">
      <x:c r="A44" s="10"/>
      <x:c r="B44" s="10"/>
      <x:c r="C44" s="10"/>
      <x:c r="D44" s="11"/>
      <x:c r="E44" s="10"/>
      <x:c r="F44" s="10"/>
      <x:c r="G44" s="10"/>
      <x:c r="H44" s="10"/>
      <x:c r="I44" s="10"/>
      <x:c r="J44" s="9" t="str">
        <x:f>IF(AND(ISNUMBER(A44),ISNUMBER(B44),C44&lt;&gt;"",G44&lt;&gt;""),IF(F44="MULTIPLE PACK",H44*I44,H44),"")</x:f>
      </x:c>
      <x:c r="K44" s="9" t="str">
        <x:f>IF(AND(ISNUMBER(A44),ISNUMBER(B44),C44&lt;&gt;"",G44&lt;&gt;""),IF(COUNTIFS($A$7:A44,A44,$B$7:B44,B44,$C$7:C44,C44,$D$7:D44,D44)=1,B44-A44+1,0),"")</x:f>
      </x:c>
      <x:c r="L44" s="9" t="str">
        <x:f>IF(AND(ISNUMBER(A44),ISNUMBER(B44),C44&lt;&gt;"",G44&lt;&gt;""),(B44-A44+1)*J44,"")</x:f>
      </x:c>
      <x:c r="M44" s="12"/>
      <x:c r="N44" s="12"/>
      <x:c r="O44" s="12"/>
      <x:c r="P44" s="12"/>
      <x:c r="Q44" s="12"/>
      <x:c r="R44" s="13" t="str">
        <x:f>IF(AND(ISNUMBER(A44),ISNUMBER(B44),C44&lt;&gt;"",G44&lt;&gt;""),O44*P44*Q44/1000000,"")</x:f>
      </x:c>
      <x:c r="S44" s="13" t="str">
        <x:f>IF(AND(ISNUMBER(A44),ISNUMBER(B44),C44&lt;&gt;"",G44&lt;&gt;""),K44*R44,"")</x:f>
      </x:c>
      <x:c r="T44" s="13" t="str">
        <x:f>IF(AND(ISNUMBER(A44),ISNUMBER(B44),C44&lt;&gt;"",G44&lt;&gt;""),K44*M44,"")</x:f>
      </x:c>
      <x:c r="U44" s="13" t="str">
        <x:f>IF(AND(ISNUMBER(A44),ISNUMBER(B44),C44&lt;&gt;"",G44&lt;&gt;""),K44*N44,"")</x:f>
      </x:c>
    </x:row>
    <x:row r="45" ht="24" customHeight="1">
      <x:c r="A45" s="10"/>
      <x:c r="B45" s="10"/>
      <x:c r="C45" s="10"/>
      <x:c r="D45" s="11"/>
      <x:c r="E45" s="10"/>
      <x:c r="F45" s="10"/>
      <x:c r="G45" s="10"/>
      <x:c r="H45" s="10"/>
      <x:c r="I45" s="10"/>
      <x:c r="J45" s="9" t="str">
        <x:f>IF(AND(ISNUMBER(A45),ISNUMBER(B45),C45&lt;&gt;"",G45&lt;&gt;""),IF(F45="MULTIPLE PACK",H45*I45,H45),"")</x:f>
      </x:c>
      <x:c r="K45" s="9" t="str">
        <x:f>IF(AND(ISNUMBER(A45),ISNUMBER(B45),C45&lt;&gt;"",G45&lt;&gt;""),IF(COUNTIFS($A$7:A45,A45,$B$7:B45,B45,$C$7:C45,C45,$D$7:D45,D45)=1,B45-A45+1,0),"")</x:f>
      </x:c>
      <x:c r="L45" s="9" t="str">
        <x:f>IF(AND(ISNUMBER(A45),ISNUMBER(B45),C45&lt;&gt;"",G45&lt;&gt;""),(B45-A45+1)*J45,"")</x:f>
      </x:c>
      <x:c r="M45" s="12"/>
      <x:c r="N45" s="12"/>
      <x:c r="O45" s="12"/>
      <x:c r="P45" s="12"/>
      <x:c r="Q45" s="12"/>
      <x:c r="R45" s="13" t="str">
        <x:f>IF(AND(ISNUMBER(A45),ISNUMBER(B45),C45&lt;&gt;"",G45&lt;&gt;""),O45*P45*Q45/1000000,"")</x:f>
      </x:c>
      <x:c r="S45" s="13" t="str">
        <x:f>IF(AND(ISNUMBER(A45),ISNUMBER(B45),C45&lt;&gt;"",G45&lt;&gt;""),K45*R45,"")</x:f>
      </x:c>
      <x:c r="T45" s="13" t="str">
        <x:f>IF(AND(ISNUMBER(A45),ISNUMBER(B45),C45&lt;&gt;"",G45&lt;&gt;""),K45*M45,"")</x:f>
      </x:c>
      <x:c r="U45" s="13" t="str">
        <x:f>IF(AND(ISNUMBER(A45),ISNUMBER(B45),C45&lt;&gt;"",G45&lt;&gt;""),K45*N45,"")</x:f>
      </x:c>
    </x:row>
    <x:row r="46" ht="24" customHeight="1">
      <x:c r="A46" s="10"/>
      <x:c r="B46" s="10"/>
      <x:c r="C46" s="10"/>
      <x:c r="D46" s="11"/>
      <x:c r="E46" s="10"/>
      <x:c r="F46" s="10"/>
      <x:c r="G46" s="10"/>
      <x:c r="H46" s="10"/>
      <x:c r="I46" s="10"/>
      <x:c r="J46" s="9" t="str">
        <x:f>IF(AND(ISNUMBER(A46),ISNUMBER(B46),C46&lt;&gt;"",G46&lt;&gt;""),IF(F46="MULTIPLE PACK",H46*I46,H46),"")</x:f>
      </x:c>
      <x:c r="K46" s="9" t="str">
        <x:f>IF(AND(ISNUMBER(A46),ISNUMBER(B46),C46&lt;&gt;"",G46&lt;&gt;""),IF(COUNTIFS($A$7:A46,A46,$B$7:B46,B46,$C$7:C46,C46,$D$7:D46,D46)=1,B46-A46+1,0),"")</x:f>
      </x:c>
      <x:c r="L46" s="9" t="str">
        <x:f>IF(AND(ISNUMBER(A46),ISNUMBER(B46),C46&lt;&gt;"",G46&lt;&gt;""),(B46-A46+1)*J46,"")</x:f>
      </x:c>
      <x:c r="M46" s="12"/>
      <x:c r="N46" s="12"/>
      <x:c r="O46" s="12"/>
      <x:c r="P46" s="12"/>
      <x:c r="Q46" s="12"/>
      <x:c r="R46" s="13" t="str">
        <x:f>IF(AND(ISNUMBER(A46),ISNUMBER(B46),C46&lt;&gt;"",G46&lt;&gt;""),O46*P46*Q46/1000000,"")</x:f>
      </x:c>
      <x:c r="S46" s="13" t="str">
        <x:f>IF(AND(ISNUMBER(A46),ISNUMBER(B46),C46&lt;&gt;"",G46&lt;&gt;""),K46*R46,"")</x:f>
      </x:c>
      <x:c r="T46" s="13" t="str">
        <x:f>IF(AND(ISNUMBER(A46),ISNUMBER(B46),C46&lt;&gt;"",G46&lt;&gt;""),K46*M46,"")</x:f>
      </x:c>
      <x:c r="U46" s="13" t="str">
        <x:f>IF(AND(ISNUMBER(A46),ISNUMBER(B46),C46&lt;&gt;"",G46&lt;&gt;""),K46*N46,"")</x:f>
      </x:c>
    </x:row>
    <x:row r="47" ht="24" customHeight="1">
      <x:c r="A47" s="10"/>
      <x:c r="B47" s="10"/>
      <x:c r="C47" s="10"/>
      <x:c r="D47" s="11"/>
      <x:c r="E47" s="10"/>
      <x:c r="F47" s="10"/>
      <x:c r="G47" s="10"/>
      <x:c r="H47" s="10"/>
      <x:c r="I47" s="10"/>
      <x:c r="J47" s="9" t="str">
        <x:f>IF(AND(ISNUMBER(A47),ISNUMBER(B47),C47&lt;&gt;"",G47&lt;&gt;""),IF(F47="MULTIPLE PACK",H47*I47,H47),"")</x:f>
      </x:c>
      <x:c r="K47" s="9" t="str">
        <x:f>IF(AND(ISNUMBER(A47),ISNUMBER(B47),C47&lt;&gt;"",G47&lt;&gt;""),IF(COUNTIFS($A$7:A47,A47,$B$7:B47,B47,$C$7:C47,C47,$D$7:D47,D47)=1,B47-A47+1,0),"")</x:f>
      </x:c>
      <x:c r="L47" s="9" t="str">
        <x:f>IF(AND(ISNUMBER(A47),ISNUMBER(B47),C47&lt;&gt;"",G47&lt;&gt;""),(B47-A47+1)*J47,"")</x:f>
      </x:c>
      <x:c r="M47" s="12"/>
      <x:c r="N47" s="12"/>
      <x:c r="O47" s="12"/>
      <x:c r="P47" s="12"/>
      <x:c r="Q47" s="12"/>
      <x:c r="R47" s="13" t="str">
        <x:f>IF(AND(ISNUMBER(A47),ISNUMBER(B47),C47&lt;&gt;"",G47&lt;&gt;""),O47*P47*Q47/1000000,"")</x:f>
      </x:c>
      <x:c r="S47" s="13" t="str">
        <x:f>IF(AND(ISNUMBER(A47),ISNUMBER(B47),C47&lt;&gt;"",G47&lt;&gt;""),K47*R47,"")</x:f>
      </x:c>
      <x:c r="T47" s="13" t="str">
        <x:f>IF(AND(ISNUMBER(A47),ISNUMBER(B47),C47&lt;&gt;"",G47&lt;&gt;""),K47*M47,"")</x:f>
      </x:c>
      <x:c r="U47" s="13" t="str">
        <x:f>IF(AND(ISNUMBER(A47),ISNUMBER(B47),C47&lt;&gt;"",G47&lt;&gt;""),K47*N47,"")</x:f>
      </x:c>
    </x:row>
    <x:row r="48" ht="24" customHeight="1">
      <x:c r="A48" s="10"/>
      <x:c r="B48" s="10"/>
      <x:c r="C48" s="10"/>
      <x:c r="D48" s="11"/>
      <x:c r="E48" s="10"/>
      <x:c r="F48" s="10"/>
      <x:c r="G48" s="10"/>
      <x:c r="H48" s="10"/>
      <x:c r="I48" s="10"/>
      <x:c r="J48" s="9" t="str">
        <x:f>IF(AND(ISNUMBER(A48),ISNUMBER(B48),C48&lt;&gt;"",G48&lt;&gt;""),IF(F48="MULTIPLE PACK",H48*I48,H48),"")</x:f>
      </x:c>
      <x:c r="K48" s="9" t="str">
        <x:f>IF(AND(ISNUMBER(A48),ISNUMBER(B48),C48&lt;&gt;"",G48&lt;&gt;""),IF(COUNTIFS($A$7:A48,A48,$B$7:B48,B48,$C$7:C48,C48,$D$7:D48,D48)=1,B48-A48+1,0),"")</x:f>
      </x:c>
      <x:c r="L48" s="9" t="str">
        <x:f>IF(AND(ISNUMBER(A48),ISNUMBER(B48),C48&lt;&gt;"",G48&lt;&gt;""),(B48-A48+1)*J48,"")</x:f>
      </x:c>
      <x:c r="M48" s="12"/>
      <x:c r="N48" s="12"/>
      <x:c r="O48" s="12"/>
      <x:c r="P48" s="12"/>
      <x:c r="Q48" s="12"/>
      <x:c r="R48" s="13" t="str">
        <x:f>IF(AND(ISNUMBER(A48),ISNUMBER(B48),C48&lt;&gt;"",G48&lt;&gt;""),O48*P48*Q48/1000000,"")</x:f>
      </x:c>
      <x:c r="S48" s="13" t="str">
        <x:f>IF(AND(ISNUMBER(A48),ISNUMBER(B48),C48&lt;&gt;"",G48&lt;&gt;""),K48*R48,"")</x:f>
      </x:c>
      <x:c r="T48" s="13" t="str">
        <x:f>IF(AND(ISNUMBER(A48),ISNUMBER(B48),C48&lt;&gt;"",G48&lt;&gt;""),K48*M48,"")</x:f>
      </x:c>
      <x:c r="U48" s="13" t="str">
        <x:f>IF(AND(ISNUMBER(A48),ISNUMBER(B48),C48&lt;&gt;"",G48&lt;&gt;""),K48*N48,"")</x:f>
      </x:c>
    </x:row>
    <x:row r="49" ht="24" customHeight="1">
      <x:c r="A49" s="10"/>
      <x:c r="B49" s="10"/>
      <x:c r="C49" s="10"/>
      <x:c r="D49" s="11"/>
      <x:c r="E49" s="10"/>
      <x:c r="F49" s="10"/>
      <x:c r="G49" s="10"/>
      <x:c r="H49" s="10"/>
      <x:c r="I49" s="10"/>
      <x:c r="J49" s="9" t="str">
        <x:f>IF(AND(ISNUMBER(A49),ISNUMBER(B49),C49&lt;&gt;"",G49&lt;&gt;""),IF(F49="MULTIPLE PACK",H49*I49,H49),"")</x:f>
      </x:c>
      <x:c r="K49" s="9" t="str">
        <x:f>IF(AND(ISNUMBER(A49),ISNUMBER(B49),C49&lt;&gt;"",G49&lt;&gt;""),IF(COUNTIFS($A$7:A49,A49,$B$7:B49,B49,$C$7:C49,C49,$D$7:D49,D49)=1,B49-A49+1,0),"")</x:f>
      </x:c>
      <x:c r="L49" s="9" t="str">
        <x:f>IF(AND(ISNUMBER(A49),ISNUMBER(B49),C49&lt;&gt;"",G49&lt;&gt;""),(B49-A49+1)*J49,"")</x:f>
      </x:c>
      <x:c r="M49" s="12"/>
      <x:c r="N49" s="12"/>
      <x:c r="O49" s="12"/>
      <x:c r="P49" s="12"/>
      <x:c r="Q49" s="12"/>
      <x:c r="R49" s="13" t="str">
        <x:f>IF(AND(ISNUMBER(A49),ISNUMBER(B49),C49&lt;&gt;"",G49&lt;&gt;""),O49*P49*Q49/1000000,"")</x:f>
      </x:c>
      <x:c r="S49" s="13" t="str">
        <x:f>IF(AND(ISNUMBER(A49),ISNUMBER(B49),C49&lt;&gt;"",G49&lt;&gt;""),K49*R49,"")</x:f>
      </x:c>
      <x:c r="T49" s="13" t="str">
        <x:f>IF(AND(ISNUMBER(A49),ISNUMBER(B49),C49&lt;&gt;"",G49&lt;&gt;""),K49*M49,"")</x:f>
      </x:c>
      <x:c r="U49" s="13" t="str">
        <x:f>IF(AND(ISNUMBER(A49),ISNUMBER(B49),C49&lt;&gt;"",G49&lt;&gt;""),K49*N49,"")</x:f>
      </x:c>
    </x:row>
    <x:row r="50" ht="24" customHeight="1">
      <x:c r="A50" s="10"/>
      <x:c r="B50" s="10"/>
      <x:c r="C50" s="10"/>
      <x:c r="D50" s="11"/>
      <x:c r="E50" s="10"/>
      <x:c r="F50" s="10"/>
      <x:c r="G50" s="10"/>
      <x:c r="H50" s="10"/>
      <x:c r="I50" s="10"/>
      <x:c r="J50" s="9" t="str">
        <x:f>IF(AND(ISNUMBER(A50),ISNUMBER(B50),C50&lt;&gt;"",G50&lt;&gt;""),IF(F50="MULTIPLE PACK",H50*I50,H50),"")</x:f>
      </x:c>
      <x:c r="K50" s="9" t="str">
        <x:f>IF(AND(ISNUMBER(A50),ISNUMBER(B50),C50&lt;&gt;"",G50&lt;&gt;""),IF(COUNTIFS($A$7:A50,A50,$B$7:B50,B50,$C$7:C50,C50,$D$7:D50,D50)=1,B50-A50+1,0),"")</x:f>
      </x:c>
      <x:c r="L50" s="9" t="str">
        <x:f>IF(AND(ISNUMBER(A50),ISNUMBER(B50),C50&lt;&gt;"",G50&lt;&gt;""),(B50-A50+1)*J50,"")</x:f>
      </x:c>
      <x:c r="M50" s="12"/>
      <x:c r="N50" s="12"/>
      <x:c r="O50" s="12"/>
      <x:c r="P50" s="12"/>
      <x:c r="Q50" s="12"/>
      <x:c r="R50" s="13" t="str">
        <x:f>IF(AND(ISNUMBER(A50),ISNUMBER(B50),C50&lt;&gt;"",G50&lt;&gt;""),O50*P50*Q50/1000000,"")</x:f>
      </x:c>
      <x:c r="S50" s="13" t="str">
        <x:f>IF(AND(ISNUMBER(A50),ISNUMBER(B50),C50&lt;&gt;"",G50&lt;&gt;""),K50*R50,"")</x:f>
      </x:c>
      <x:c r="T50" s="13" t="str">
        <x:f>IF(AND(ISNUMBER(A50),ISNUMBER(B50),C50&lt;&gt;"",G50&lt;&gt;""),K50*M50,"")</x:f>
      </x:c>
      <x:c r="U50" s="13" t="str">
        <x:f>IF(AND(ISNUMBER(A50),ISNUMBER(B50),C50&lt;&gt;"",G50&lt;&gt;""),K50*N50,"")</x:f>
      </x:c>
    </x:row>
    <x:row r="51" ht="24" customHeight="1">
      <x:c r="A51" s="10"/>
      <x:c r="B51" s="10"/>
      <x:c r="C51" s="10"/>
      <x:c r="D51" s="11"/>
      <x:c r="E51" s="10"/>
      <x:c r="F51" s="10"/>
      <x:c r="G51" s="10"/>
      <x:c r="H51" s="10"/>
      <x:c r="I51" s="10"/>
      <x:c r="J51" s="9" t="str">
        <x:f>IF(AND(ISNUMBER(A51),ISNUMBER(B51),C51&lt;&gt;"",G51&lt;&gt;""),IF(F51="MULTIPLE PACK",H51*I51,H51),"")</x:f>
      </x:c>
      <x:c r="K51" s="9" t="str">
        <x:f>IF(AND(ISNUMBER(A51),ISNUMBER(B51),C51&lt;&gt;"",G51&lt;&gt;""),IF(COUNTIFS($A$7:A51,A51,$B$7:B51,B51,$C$7:C51,C51,$D$7:D51,D51)=1,B51-A51+1,0),"")</x:f>
      </x:c>
      <x:c r="L51" s="9" t="str">
        <x:f>IF(AND(ISNUMBER(A51),ISNUMBER(B51),C51&lt;&gt;"",G51&lt;&gt;""),(B51-A51+1)*J51,"")</x:f>
      </x:c>
      <x:c r="M51" s="12"/>
      <x:c r="N51" s="12"/>
      <x:c r="O51" s="12"/>
      <x:c r="P51" s="12"/>
      <x:c r="Q51" s="12"/>
      <x:c r="R51" s="13" t="str">
        <x:f>IF(AND(ISNUMBER(A51),ISNUMBER(B51),C51&lt;&gt;"",G51&lt;&gt;""),O51*P51*Q51/1000000,"")</x:f>
      </x:c>
      <x:c r="S51" s="13" t="str">
        <x:f>IF(AND(ISNUMBER(A51),ISNUMBER(B51),C51&lt;&gt;"",G51&lt;&gt;""),K51*R51,"")</x:f>
      </x:c>
      <x:c r="T51" s="13" t="str">
        <x:f>IF(AND(ISNUMBER(A51),ISNUMBER(B51),C51&lt;&gt;"",G51&lt;&gt;""),K51*M51,"")</x:f>
      </x:c>
      <x:c r="U51" s="13" t="str">
        <x:f>IF(AND(ISNUMBER(A51),ISNUMBER(B51),C51&lt;&gt;"",G51&lt;&gt;""),K51*N51,"")</x:f>
      </x:c>
    </x:row>
    <x:row r="52" ht="24" customHeight="1">
      <x:c r="A52" s="10"/>
      <x:c r="B52" s="10"/>
      <x:c r="C52" s="10"/>
      <x:c r="D52" s="11"/>
      <x:c r="E52" s="10"/>
      <x:c r="F52" s="10"/>
      <x:c r="G52" s="10"/>
      <x:c r="H52" s="10"/>
      <x:c r="I52" s="10"/>
      <x:c r="J52" s="9" t="str">
        <x:f>IF(AND(ISNUMBER(A52),ISNUMBER(B52),C52&lt;&gt;"",G52&lt;&gt;""),IF(F52="MULTIPLE PACK",H52*I52,H52),"")</x:f>
      </x:c>
      <x:c r="K52" s="9" t="str">
        <x:f>IF(AND(ISNUMBER(A52),ISNUMBER(B52),C52&lt;&gt;"",G52&lt;&gt;""),IF(COUNTIFS($A$7:A52,A52,$B$7:B52,B52,$C$7:C52,C52,$D$7:D52,D52)=1,B52-A52+1,0),"")</x:f>
      </x:c>
      <x:c r="L52" s="9" t="str">
        <x:f>IF(AND(ISNUMBER(A52),ISNUMBER(B52),C52&lt;&gt;"",G52&lt;&gt;""),(B52-A52+1)*J52,"")</x:f>
      </x:c>
      <x:c r="M52" s="12"/>
      <x:c r="N52" s="12"/>
      <x:c r="O52" s="12"/>
      <x:c r="P52" s="12"/>
      <x:c r="Q52" s="12"/>
      <x:c r="R52" s="13" t="str">
        <x:f>IF(AND(ISNUMBER(A52),ISNUMBER(B52),C52&lt;&gt;"",G52&lt;&gt;""),O52*P52*Q52/1000000,"")</x:f>
      </x:c>
      <x:c r="S52" s="13" t="str">
        <x:f>IF(AND(ISNUMBER(A52),ISNUMBER(B52),C52&lt;&gt;"",G52&lt;&gt;""),K52*R52,"")</x:f>
      </x:c>
      <x:c r="T52" s="13" t="str">
        <x:f>IF(AND(ISNUMBER(A52),ISNUMBER(B52),C52&lt;&gt;"",G52&lt;&gt;""),K52*M52,"")</x:f>
      </x:c>
      <x:c r="U52" s="13" t="str">
        <x:f>IF(AND(ISNUMBER(A52),ISNUMBER(B52),C52&lt;&gt;"",G52&lt;&gt;""),K52*N52,"")</x:f>
      </x:c>
    </x:row>
    <x:row r="53" ht="24" customHeight="1">
      <x:c r="A53" s="10"/>
      <x:c r="B53" s="10"/>
      <x:c r="C53" s="10"/>
      <x:c r="D53" s="11"/>
      <x:c r="E53" s="10"/>
      <x:c r="F53" s="10"/>
      <x:c r="G53" s="10"/>
      <x:c r="H53" s="10"/>
      <x:c r="I53" s="10"/>
      <x:c r="J53" s="9" t="str">
        <x:f>IF(AND(ISNUMBER(A53),ISNUMBER(B53),C53&lt;&gt;"",G53&lt;&gt;""),IF(F53="MULTIPLE PACK",H53*I53,H53),"")</x:f>
      </x:c>
      <x:c r="K53" s="9" t="str">
        <x:f>IF(AND(ISNUMBER(A53),ISNUMBER(B53),C53&lt;&gt;"",G53&lt;&gt;""),IF(COUNTIFS($A$7:A53,A53,$B$7:B53,B53,$C$7:C53,C53,$D$7:D53,D53)=1,B53-A53+1,0),"")</x:f>
      </x:c>
      <x:c r="L53" s="9" t="str">
        <x:f>IF(AND(ISNUMBER(A53),ISNUMBER(B53),C53&lt;&gt;"",G53&lt;&gt;""),(B53-A53+1)*J53,"")</x:f>
      </x:c>
      <x:c r="M53" s="12"/>
      <x:c r="N53" s="12"/>
      <x:c r="O53" s="12"/>
      <x:c r="P53" s="12"/>
      <x:c r="Q53" s="12"/>
      <x:c r="R53" s="13" t="str">
        <x:f>IF(AND(ISNUMBER(A53),ISNUMBER(B53),C53&lt;&gt;"",G53&lt;&gt;""),O53*P53*Q53/1000000,"")</x:f>
      </x:c>
      <x:c r="S53" s="13" t="str">
        <x:f>IF(AND(ISNUMBER(A53),ISNUMBER(B53),C53&lt;&gt;"",G53&lt;&gt;""),K53*R53,"")</x:f>
      </x:c>
      <x:c r="T53" s="13" t="str">
        <x:f>IF(AND(ISNUMBER(A53),ISNUMBER(B53),C53&lt;&gt;"",G53&lt;&gt;""),K53*M53,"")</x:f>
      </x:c>
      <x:c r="U53" s="13" t="str">
        <x:f>IF(AND(ISNUMBER(A53),ISNUMBER(B53),C53&lt;&gt;"",G53&lt;&gt;""),K53*N53,"")</x:f>
      </x:c>
    </x:row>
    <x:row r="54" ht="24" customHeight="1">
      <x:c r="A54" s="10"/>
      <x:c r="B54" s="10"/>
      <x:c r="C54" s="10"/>
      <x:c r="D54" s="11"/>
      <x:c r="E54" s="10"/>
      <x:c r="F54" s="10"/>
      <x:c r="G54" s="10"/>
      <x:c r="H54" s="10"/>
      <x:c r="I54" s="10"/>
      <x:c r="J54" s="9" t="str">
        <x:f>IF(AND(ISNUMBER(A54),ISNUMBER(B54),C54&lt;&gt;"",G54&lt;&gt;""),IF(F54="MULTIPLE PACK",H54*I54,H54),"")</x:f>
      </x:c>
      <x:c r="K54" s="9" t="str">
        <x:f>IF(AND(ISNUMBER(A54),ISNUMBER(B54),C54&lt;&gt;"",G54&lt;&gt;""),IF(COUNTIFS($A$7:A54,A54,$B$7:B54,B54,$C$7:C54,C54,$D$7:D54,D54)=1,B54-A54+1,0),"")</x:f>
      </x:c>
      <x:c r="L54" s="9" t="str">
        <x:f>IF(AND(ISNUMBER(A54),ISNUMBER(B54),C54&lt;&gt;"",G54&lt;&gt;""),(B54-A54+1)*J54,"")</x:f>
      </x:c>
      <x:c r="M54" s="12"/>
      <x:c r="N54" s="12"/>
      <x:c r="O54" s="12"/>
      <x:c r="P54" s="12"/>
      <x:c r="Q54" s="12"/>
      <x:c r="R54" s="13" t="str">
        <x:f>IF(AND(ISNUMBER(A54),ISNUMBER(B54),C54&lt;&gt;"",G54&lt;&gt;""),O54*P54*Q54/1000000,"")</x:f>
      </x:c>
      <x:c r="S54" s="13" t="str">
        <x:f>IF(AND(ISNUMBER(A54),ISNUMBER(B54),C54&lt;&gt;"",G54&lt;&gt;""),K54*R54,"")</x:f>
      </x:c>
      <x:c r="T54" s="13" t="str">
        <x:f>IF(AND(ISNUMBER(A54),ISNUMBER(B54),C54&lt;&gt;"",G54&lt;&gt;""),K54*M54,"")</x:f>
      </x:c>
      <x:c r="U54" s="13" t="str">
        <x:f>IF(AND(ISNUMBER(A54),ISNUMBER(B54),C54&lt;&gt;"",G54&lt;&gt;""),K54*N54,"")</x:f>
      </x:c>
    </x:row>
    <x:row r="55" ht="24" customHeight="1">
      <x:c r="A55" s="10"/>
      <x:c r="B55" s="10"/>
      <x:c r="C55" s="10"/>
      <x:c r="D55" s="11"/>
      <x:c r="E55" s="10"/>
      <x:c r="F55" s="10"/>
      <x:c r="G55" s="10"/>
      <x:c r="H55" s="10"/>
      <x:c r="I55" s="10"/>
      <x:c r="J55" s="9" t="str">
        <x:f>IF(AND(ISNUMBER(A55),ISNUMBER(B55),C55&lt;&gt;"",G55&lt;&gt;""),IF(F55="MULTIPLE PACK",H55*I55,H55),"")</x:f>
      </x:c>
      <x:c r="K55" s="9" t="str">
        <x:f>IF(AND(ISNUMBER(A55),ISNUMBER(B55),C55&lt;&gt;"",G55&lt;&gt;""),IF(COUNTIFS($A$7:A55,A55,$B$7:B55,B55,$C$7:C55,C55,$D$7:D55,D55)=1,B55-A55+1,0),"")</x:f>
      </x:c>
      <x:c r="L55" s="9" t="str">
        <x:f>IF(AND(ISNUMBER(A55),ISNUMBER(B55),C55&lt;&gt;"",G55&lt;&gt;""),(B55-A55+1)*J55,"")</x:f>
      </x:c>
      <x:c r="M55" s="12"/>
      <x:c r="N55" s="12"/>
      <x:c r="O55" s="12"/>
      <x:c r="P55" s="12"/>
      <x:c r="Q55" s="12"/>
      <x:c r="R55" s="13" t="str">
        <x:f>IF(AND(ISNUMBER(A55),ISNUMBER(B55),C55&lt;&gt;"",G55&lt;&gt;""),O55*P55*Q55/1000000,"")</x:f>
      </x:c>
      <x:c r="S55" s="13" t="str">
        <x:f>IF(AND(ISNUMBER(A55),ISNUMBER(B55),C55&lt;&gt;"",G55&lt;&gt;""),K55*R55,"")</x:f>
      </x:c>
      <x:c r="T55" s="13" t="str">
        <x:f>IF(AND(ISNUMBER(A55),ISNUMBER(B55),C55&lt;&gt;"",G55&lt;&gt;""),K55*M55,"")</x:f>
      </x:c>
      <x:c r="U55" s="13" t="str">
        <x:f>IF(AND(ISNUMBER(A55),ISNUMBER(B55),C55&lt;&gt;"",G55&lt;&gt;""),K55*N55,"")</x:f>
      </x:c>
    </x:row>
    <x:row r="56" ht="24" customHeight="1">
      <x:c r="A56" s="10"/>
      <x:c r="B56" s="10"/>
      <x:c r="C56" s="10"/>
      <x:c r="D56" s="11"/>
      <x:c r="E56" s="10"/>
      <x:c r="F56" s="10"/>
      <x:c r="G56" s="10"/>
      <x:c r="H56" s="10"/>
      <x:c r="I56" s="10"/>
      <x:c r="J56" s="9" t="str">
        <x:f>IF(AND(ISNUMBER(A56),ISNUMBER(B56),C56&lt;&gt;"",G56&lt;&gt;""),IF(F56="MULTIPLE PACK",H56*I56,H56),"")</x:f>
      </x:c>
      <x:c r="K56" s="9" t="str">
        <x:f>IF(AND(ISNUMBER(A56),ISNUMBER(B56),C56&lt;&gt;"",G56&lt;&gt;""),IF(COUNTIFS($A$7:A56,A56,$B$7:B56,B56,$C$7:C56,C56,$D$7:D56,D56)=1,B56-A56+1,0),"")</x:f>
      </x:c>
      <x:c r="L56" s="9" t="str">
        <x:f>IF(AND(ISNUMBER(A56),ISNUMBER(B56),C56&lt;&gt;"",G56&lt;&gt;""),(B56-A56+1)*J56,"")</x:f>
      </x:c>
      <x:c r="M56" s="12"/>
      <x:c r="N56" s="12"/>
      <x:c r="O56" s="12"/>
      <x:c r="P56" s="12"/>
      <x:c r="Q56" s="12"/>
      <x:c r="R56" s="13" t="str">
        <x:f>IF(AND(ISNUMBER(A56),ISNUMBER(B56),C56&lt;&gt;"",G56&lt;&gt;""),O56*P56*Q56/1000000,"")</x:f>
      </x:c>
      <x:c r="S56" s="13" t="str">
        <x:f>IF(AND(ISNUMBER(A56),ISNUMBER(B56),C56&lt;&gt;"",G56&lt;&gt;""),K56*R56,"")</x:f>
      </x:c>
      <x:c r="T56" s="13" t="str">
        <x:f>IF(AND(ISNUMBER(A56),ISNUMBER(B56),C56&lt;&gt;"",G56&lt;&gt;""),K56*M56,"")</x:f>
      </x:c>
      <x:c r="U56" s="13" t="str">
        <x:f>IF(AND(ISNUMBER(A56),ISNUMBER(B56),C56&lt;&gt;"",G56&lt;&gt;""),K56*N56,"")</x:f>
      </x:c>
    </x:row>
    <x:row r="57" ht="24" customHeight="1">
      <x:c r="A57" s="10"/>
      <x:c r="B57" s="10"/>
      <x:c r="C57" s="10"/>
      <x:c r="D57" s="11"/>
      <x:c r="E57" s="10"/>
      <x:c r="F57" s="10"/>
      <x:c r="G57" s="10"/>
      <x:c r="H57" s="10"/>
      <x:c r="I57" s="10"/>
      <x:c r="J57" s="9" t="str">
        <x:f>IF(AND(ISNUMBER(A57),ISNUMBER(B57),C57&lt;&gt;"",G57&lt;&gt;""),IF(F57="MULTIPLE PACK",H57*I57,H57),"")</x:f>
      </x:c>
      <x:c r="K57" s="9" t="str">
        <x:f>IF(AND(ISNUMBER(A57),ISNUMBER(B57),C57&lt;&gt;"",G57&lt;&gt;""),IF(COUNTIFS($A$7:A57,A57,$B$7:B57,B57,$C$7:C57,C57,$D$7:D57,D57)=1,B57-A57+1,0),"")</x:f>
      </x:c>
      <x:c r="L57" s="9" t="str">
        <x:f>IF(AND(ISNUMBER(A57),ISNUMBER(B57),C57&lt;&gt;"",G57&lt;&gt;""),(B57-A57+1)*J57,"")</x:f>
      </x:c>
      <x:c r="M57" s="12"/>
      <x:c r="N57" s="12"/>
      <x:c r="O57" s="12"/>
      <x:c r="P57" s="12"/>
      <x:c r="Q57" s="12"/>
      <x:c r="R57" s="13" t="str">
        <x:f>IF(AND(ISNUMBER(A57),ISNUMBER(B57),C57&lt;&gt;"",G57&lt;&gt;""),O57*P57*Q57/1000000,"")</x:f>
      </x:c>
      <x:c r="S57" s="13" t="str">
        <x:f>IF(AND(ISNUMBER(A57),ISNUMBER(B57),C57&lt;&gt;"",G57&lt;&gt;""),K57*R57,"")</x:f>
      </x:c>
      <x:c r="T57" s="13" t="str">
        <x:f>IF(AND(ISNUMBER(A57),ISNUMBER(B57),C57&lt;&gt;"",G57&lt;&gt;""),K57*M57,"")</x:f>
      </x:c>
      <x:c r="U57" s="13" t="str">
        <x:f>IF(AND(ISNUMBER(A57),ISNUMBER(B57),C57&lt;&gt;"",G57&lt;&gt;""),K57*N57,"")</x:f>
      </x:c>
    </x:row>
    <x:row r="58" ht="24" customHeight="1">
      <x:c r="A58" s="10"/>
      <x:c r="B58" s="10"/>
      <x:c r="C58" s="10"/>
      <x:c r="D58" s="11"/>
      <x:c r="E58" s="10"/>
      <x:c r="F58" s="10"/>
      <x:c r="G58" s="10"/>
      <x:c r="H58" s="10"/>
      <x:c r="I58" s="10"/>
      <x:c r="J58" s="9" t="str">
        <x:f>IF(AND(ISNUMBER(A58),ISNUMBER(B58),C58&lt;&gt;"",G58&lt;&gt;""),IF(F58="MULTIPLE PACK",H58*I58,H58),"")</x:f>
      </x:c>
      <x:c r="K58" s="9" t="str">
        <x:f>IF(AND(ISNUMBER(A58),ISNUMBER(B58),C58&lt;&gt;"",G58&lt;&gt;""),IF(COUNTIFS($A$7:A58,A58,$B$7:B58,B58,$C$7:C58,C58,$D$7:D58,D58)=1,B58-A58+1,0),"")</x:f>
      </x:c>
      <x:c r="L58" s="9" t="str">
        <x:f>IF(AND(ISNUMBER(A58),ISNUMBER(B58),C58&lt;&gt;"",G58&lt;&gt;""),(B58-A58+1)*J58,"")</x:f>
      </x:c>
      <x:c r="M58" s="12"/>
      <x:c r="N58" s="12"/>
      <x:c r="O58" s="12"/>
      <x:c r="P58" s="12"/>
      <x:c r="Q58" s="12"/>
      <x:c r="R58" s="13" t="str">
        <x:f>IF(AND(ISNUMBER(A58),ISNUMBER(B58),C58&lt;&gt;"",G58&lt;&gt;""),O58*P58*Q58/1000000,"")</x:f>
      </x:c>
      <x:c r="S58" s="13" t="str">
        <x:f>IF(AND(ISNUMBER(A58),ISNUMBER(B58),C58&lt;&gt;"",G58&lt;&gt;""),K58*R58,"")</x:f>
      </x:c>
      <x:c r="T58" s="13" t="str">
        <x:f>IF(AND(ISNUMBER(A58),ISNUMBER(B58),C58&lt;&gt;"",G58&lt;&gt;""),K58*M58,"")</x:f>
      </x:c>
      <x:c r="U58" s="13" t="str">
        <x:f>IF(AND(ISNUMBER(A58),ISNUMBER(B58),C58&lt;&gt;"",G58&lt;&gt;""),K58*N58,"")</x:f>
      </x:c>
    </x:row>
    <x:row r="59" ht="24" customHeight="1">
      <x:c r="A59" s="10"/>
      <x:c r="B59" s="10"/>
      <x:c r="C59" s="10"/>
      <x:c r="D59" s="11"/>
      <x:c r="E59" s="10"/>
      <x:c r="F59" s="10"/>
      <x:c r="G59" s="10"/>
      <x:c r="H59" s="10"/>
      <x:c r="I59" s="10"/>
      <x:c r="J59" s="9" t="str">
        <x:f>IF(AND(ISNUMBER(A59),ISNUMBER(B59),C59&lt;&gt;"",G59&lt;&gt;""),IF(F59="MULTIPLE PACK",H59*I59,H59),"")</x:f>
      </x:c>
      <x:c r="K59" s="9" t="str">
        <x:f>IF(AND(ISNUMBER(A59),ISNUMBER(B59),C59&lt;&gt;"",G59&lt;&gt;""),IF(COUNTIFS($A$7:A59,A59,$B$7:B59,B59,$C$7:C59,C59,$D$7:D59,D59)=1,B59-A59+1,0),"")</x:f>
      </x:c>
      <x:c r="L59" s="9" t="str">
        <x:f>IF(AND(ISNUMBER(A59),ISNUMBER(B59),C59&lt;&gt;"",G59&lt;&gt;""),(B59-A59+1)*J59,"")</x:f>
      </x:c>
      <x:c r="M59" s="12"/>
      <x:c r="N59" s="12"/>
      <x:c r="O59" s="12"/>
      <x:c r="P59" s="12"/>
      <x:c r="Q59" s="12"/>
      <x:c r="R59" s="13" t="str">
        <x:f>IF(AND(ISNUMBER(A59),ISNUMBER(B59),C59&lt;&gt;"",G59&lt;&gt;""),O59*P59*Q59/1000000,"")</x:f>
      </x:c>
      <x:c r="S59" s="13" t="str">
        <x:f>IF(AND(ISNUMBER(A59),ISNUMBER(B59),C59&lt;&gt;"",G59&lt;&gt;""),K59*R59,"")</x:f>
      </x:c>
      <x:c r="T59" s="13" t="str">
        <x:f>IF(AND(ISNUMBER(A59),ISNUMBER(B59),C59&lt;&gt;"",G59&lt;&gt;""),K59*M59,"")</x:f>
      </x:c>
      <x:c r="U59" s="13" t="str">
        <x:f>IF(AND(ISNUMBER(A59),ISNUMBER(B59),C59&lt;&gt;"",G59&lt;&gt;""),K59*N59,"")</x:f>
      </x:c>
    </x:row>
    <x:row r="60" ht="24" customHeight="1">
      <x:c r="A60" s="10"/>
      <x:c r="B60" s="10"/>
      <x:c r="C60" s="10"/>
      <x:c r="D60" s="11"/>
      <x:c r="E60" s="10"/>
      <x:c r="F60" s="10"/>
      <x:c r="G60" s="10"/>
      <x:c r="H60" s="10"/>
      <x:c r="I60" s="10"/>
      <x:c r="J60" s="9" t="str">
        <x:f>IF(AND(ISNUMBER(A60),ISNUMBER(B60),C60&lt;&gt;"",G60&lt;&gt;""),IF(F60="MULTIPLE PACK",H60*I60,H60),"")</x:f>
      </x:c>
      <x:c r="K60" s="9" t="str">
        <x:f>IF(AND(ISNUMBER(A60),ISNUMBER(B60),C60&lt;&gt;"",G60&lt;&gt;""),IF(COUNTIFS($A$7:A60,A60,$B$7:B60,B60,$C$7:C60,C60,$D$7:D60,D60)=1,B60-A60+1,0),"")</x:f>
      </x:c>
      <x:c r="L60" s="9" t="str">
        <x:f>IF(AND(ISNUMBER(A60),ISNUMBER(B60),C60&lt;&gt;"",G60&lt;&gt;""),(B60-A60+1)*J60,"")</x:f>
      </x:c>
      <x:c r="M60" s="12"/>
      <x:c r="N60" s="12"/>
      <x:c r="O60" s="12"/>
      <x:c r="P60" s="12"/>
      <x:c r="Q60" s="12"/>
      <x:c r="R60" s="13" t="str">
        <x:f>IF(AND(ISNUMBER(A60),ISNUMBER(B60),C60&lt;&gt;"",G60&lt;&gt;""),O60*P60*Q60/1000000,"")</x:f>
      </x:c>
      <x:c r="S60" s="13" t="str">
        <x:f>IF(AND(ISNUMBER(A60),ISNUMBER(B60),C60&lt;&gt;"",G60&lt;&gt;""),K60*R60,"")</x:f>
      </x:c>
      <x:c r="T60" s="13" t="str">
        <x:f>IF(AND(ISNUMBER(A60),ISNUMBER(B60),C60&lt;&gt;"",G60&lt;&gt;""),K60*M60,"")</x:f>
      </x:c>
      <x:c r="U60" s="13" t="str">
        <x:f>IF(AND(ISNUMBER(A60),ISNUMBER(B60),C60&lt;&gt;"",G60&lt;&gt;""),K60*N60,"")</x:f>
      </x:c>
    </x:row>
    <x:row r="61" ht="24" customHeight="1">
      <x:c r="A61" s="10"/>
      <x:c r="B61" s="10"/>
      <x:c r="C61" s="10"/>
      <x:c r="D61" s="11"/>
      <x:c r="E61" s="10"/>
      <x:c r="F61" s="10"/>
      <x:c r="G61" s="10"/>
      <x:c r="H61" s="10"/>
      <x:c r="I61" s="10"/>
      <x:c r="J61" s="9" t="str">
        <x:f>IF(AND(ISNUMBER(A61),ISNUMBER(B61),C61&lt;&gt;"",G61&lt;&gt;""),IF(F61="MULTIPLE PACK",H61*I61,H61),"")</x:f>
      </x:c>
      <x:c r="K61" s="9" t="str">
        <x:f>IF(AND(ISNUMBER(A61),ISNUMBER(B61),C61&lt;&gt;"",G61&lt;&gt;""),IF(COUNTIFS($A$7:A61,A61,$B$7:B61,B61,$C$7:C61,C61,$D$7:D61,D61)=1,B61-A61+1,0),"")</x:f>
      </x:c>
      <x:c r="L61" s="9" t="str">
        <x:f>IF(AND(ISNUMBER(A61),ISNUMBER(B61),C61&lt;&gt;"",G61&lt;&gt;""),(B61-A61+1)*J61,"")</x:f>
      </x:c>
      <x:c r="M61" s="12"/>
      <x:c r="N61" s="12"/>
      <x:c r="O61" s="12"/>
      <x:c r="P61" s="12"/>
      <x:c r="Q61" s="12"/>
      <x:c r="R61" s="13" t="str">
        <x:f>IF(AND(ISNUMBER(A61),ISNUMBER(B61),C61&lt;&gt;"",G61&lt;&gt;""),O61*P61*Q61/1000000,"")</x:f>
      </x:c>
      <x:c r="S61" s="13" t="str">
        <x:f>IF(AND(ISNUMBER(A61),ISNUMBER(B61),C61&lt;&gt;"",G61&lt;&gt;""),K61*R61,"")</x:f>
      </x:c>
      <x:c r="T61" s="13" t="str">
        <x:f>IF(AND(ISNUMBER(A61),ISNUMBER(B61),C61&lt;&gt;"",G61&lt;&gt;""),K61*M61,"")</x:f>
      </x:c>
      <x:c r="U61" s="13" t="str">
        <x:f>IF(AND(ISNUMBER(A61),ISNUMBER(B61),C61&lt;&gt;"",G61&lt;&gt;""),K61*N61,"")</x:f>
      </x:c>
    </x:row>
    <x:row r="62" ht="24" customHeight="1">
      <x:c r="A62" s="10"/>
      <x:c r="B62" s="10"/>
      <x:c r="C62" s="10"/>
      <x:c r="D62" s="11"/>
      <x:c r="E62" s="10"/>
      <x:c r="F62" s="10"/>
      <x:c r="G62" s="10"/>
      <x:c r="H62" s="10"/>
      <x:c r="I62" s="10"/>
      <x:c r="J62" s="9" t="str">
        <x:f>IF(AND(ISNUMBER(A62),ISNUMBER(B62),C62&lt;&gt;"",G62&lt;&gt;""),IF(F62="MULTIPLE PACK",H62*I62,H62),"")</x:f>
      </x:c>
      <x:c r="K62" s="9" t="str">
        <x:f>IF(AND(ISNUMBER(A62),ISNUMBER(B62),C62&lt;&gt;"",G62&lt;&gt;""),IF(COUNTIFS($A$7:A62,A62,$B$7:B62,B62,$C$7:C62,C62,$D$7:D62,D62)=1,B62-A62+1,0),"")</x:f>
      </x:c>
      <x:c r="L62" s="9" t="str">
        <x:f>IF(AND(ISNUMBER(A62),ISNUMBER(B62),C62&lt;&gt;"",G62&lt;&gt;""),(B62-A62+1)*J62,"")</x:f>
      </x:c>
      <x:c r="M62" s="12"/>
      <x:c r="N62" s="12"/>
      <x:c r="O62" s="12"/>
      <x:c r="P62" s="12"/>
      <x:c r="Q62" s="12"/>
      <x:c r="R62" s="13" t="str">
        <x:f>IF(AND(ISNUMBER(A62),ISNUMBER(B62),C62&lt;&gt;"",G62&lt;&gt;""),O62*P62*Q62/1000000,"")</x:f>
      </x:c>
      <x:c r="S62" s="13" t="str">
        <x:f>IF(AND(ISNUMBER(A62),ISNUMBER(B62),C62&lt;&gt;"",G62&lt;&gt;""),K62*R62,"")</x:f>
      </x:c>
      <x:c r="T62" s="13" t="str">
        <x:f>IF(AND(ISNUMBER(A62),ISNUMBER(B62),C62&lt;&gt;"",G62&lt;&gt;""),K62*M62,"")</x:f>
      </x:c>
      <x:c r="U62" s="13" t="str">
        <x:f>IF(AND(ISNUMBER(A62),ISNUMBER(B62),C62&lt;&gt;"",G62&lt;&gt;""),K62*N62,"")</x:f>
      </x:c>
    </x:row>
    <x:row r="63" ht="24" customHeight="1">
      <x:c r="A63" s="10"/>
      <x:c r="B63" s="10"/>
      <x:c r="C63" s="10"/>
      <x:c r="D63" s="11"/>
      <x:c r="E63" s="10"/>
      <x:c r="F63" s="10"/>
      <x:c r="G63" s="10"/>
      <x:c r="H63" s="10"/>
      <x:c r="I63" s="10"/>
      <x:c r="J63" s="9" t="str">
        <x:f>IF(AND(ISNUMBER(A63),ISNUMBER(B63),C63&lt;&gt;"",G63&lt;&gt;""),IF(F63="MULTIPLE PACK",H63*I63,H63),"")</x:f>
      </x:c>
      <x:c r="K63" s="9" t="str">
        <x:f>IF(AND(ISNUMBER(A63),ISNUMBER(B63),C63&lt;&gt;"",G63&lt;&gt;""),IF(COUNTIFS($A$7:A63,A63,$B$7:B63,B63,$C$7:C63,C63,$D$7:D63,D63)=1,B63-A63+1,0),"")</x:f>
      </x:c>
      <x:c r="L63" s="9" t="str">
        <x:f>IF(AND(ISNUMBER(A63),ISNUMBER(B63),C63&lt;&gt;"",G63&lt;&gt;""),(B63-A63+1)*J63,"")</x:f>
      </x:c>
      <x:c r="M63" s="12"/>
      <x:c r="N63" s="12"/>
      <x:c r="O63" s="12"/>
      <x:c r="P63" s="12"/>
      <x:c r="Q63" s="12"/>
      <x:c r="R63" s="13" t="str">
        <x:f>IF(AND(ISNUMBER(A63),ISNUMBER(B63),C63&lt;&gt;"",G63&lt;&gt;""),O63*P63*Q63/1000000,"")</x:f>
      </x:c>
      <x:c r="S63" s="13" t="str">
        <x:f>IF(AND(ISNUMBER(A63),ISNUMBER(B63),C63&lt;&gt;"",G63&lt;&gt;""),K63*R63,"")</x:f>
      </x:c>
      <x:c r="T63" s="13" t="str">
        <x:f>IF(AND(ISNUMBER(A63),ISNUMBER(B63),C63&lt;&gt;"",G63&lt;&gt;""),K63*M63,"")</x:f>
      </x:c>
      <x:c r="U63" s="13" t="str">
        <x:f>IF(AND(ISNUMBER(A63),ISNUMBER(B63),C63&lt;&gt;"",G63&lt;&gt;""),K63*N63,"")</x:f>
      </x:c>
    </x:row>
    <x:row r="64" ht="24" customHeight="1">
      <x:c r="A64" s="10"/>
      <x:c r="B64" s="10"/>
      <x:c r="C64" s="10"/>
      <x:c r="D64" s="11"/>
      <x:c r="E64" s="10"/>
      <x:c r="F64" s="10"/>
      <x:c r="G64" s="10"/>
      <x:c r="H64" s="10"/>
      <x:c r="I64" s="10"/>
      <x:c r="J64" s="9" t="str">
        <x:f>IF(AND(ISNUMBER(A64),ISNUMBER(B64),C64&lt;&gt;"",G64&lt;&gt;""),IF(F64="MULTIPLE PACK",H64*I64,H64),"")</x:f>
      </x:c>
      <x:c r="K64" s="9" t="str">
        <x:f>IF(AND(ISNUMBER(A64),ISNUMBER(B64),C64&lt;&gt;"",G64&lt;&gt;""),IF(COUNTIFS($A$7:A64,A64,$B$7:B64,B64,$C$7:C64,C64,$D$7:D64,D64)=1,B64-A64+1,0),"")</x:f>
      </x:c>
      <x:c r="L64" s="9" t="str">
        <x:f>IF(AND(ISNUMBER(A64),ISNUMBER(B64),C64&lt;&gt;"",G64&lt;&gt;""),(B64-A64+1)*J64,"")</x:f>
      </x:c>
      <x:c r="M64" s="12"/>
      <x:c r="N64" s="12"/>
      <x:c r="O64" s="12"/>
      <x:c r="P64" s="12"/>
      <x:c r="Q64" s="12"/>
      <x:c r="R64" s="13" t="str">
        <x:f>IF(AND(ISNUMBER(A64),ISNUMBER(B64),C64&lt;&gt;"",G64&lt;&gt;""),O64*P64*Q64/1000000,"")</x:f>
      </x:c>
      <x:c r="S64" s="13" t="str">
        <x:f>IF(AND(ISNUMBER(A64),ISNUMBER(B64),C64&lt;&gt;"",G64&lt;&gt;""),K64*R64,"")</x:f>
      </x:c>
      <x:c r="T64" s="13" t="str">
        <x:f>IF(AND(ISNUMBER(A64),ISNUMBER(B64),C64&lt;&gt;"",G64&lt;&gt;""),K64*M64,"")</x:f>
      </x:c>
      <x:c r="U64" s="13" t="str">
        <x:f>IF(AND(ISNUMBER(A64),ISNUMBER(B64),C64&lt;&gt;"",G64&lt;&gt;""),K64*N64,"")</x:f>
      </x:c>
    </x:row>
    <x:row r="65" ht="24" customHeight="1">
      <x:c r="A65" s="10"/>
      <x:c r="B65" s="10"/>
      <x:c r="C65" s="10"/>
      <x:c r="D65" s="11"/>
      <x:c r="E65" s="10"/>
      <x:c r="F65" s="10"/>
      <x:c r="G65" s="10"/>
      <x:c r="H65" s="10"/>
      <x:c r="I65" s="10"/>
      <x:c r="J65" s="9" t="str">
        <x:f>IF(AND(ISNUMBER(A65),ISNUMBER(B65),C65&lt;&gt;"",G65&lt;&gt;""),IF(F65="MULTIPLE PACK",H65*I65,H65),"")</x:f>
      </x:c>
      <x:c r="K65" s="9" t="str">
        <x:f>IF(AND(ISNUMBER(A65),ISNUMBER(B65),C65&lt;&gt;"",G65&lt;&gt;""),IF(COUNTIFS($A$7:A65,A65,$B$7:B65,B65,$C$7:C65,C65,$D$7:D65,D65)=1,B65-A65+1,0),"")</x:f>
      </x:c>
      <x:c r="L65" s="9" t="str">
        <x:f>IF(AND(ISNUMBER(A65),ISNUMBER(B65),C65&lt;&gt;"",G65&lt;&gt;""),(B65-A65+1)*J65,"")</x:f>
      </x:c>
      <x:c r="M65" s="12"/>
      <x:c r="N65" s="12"/>
      <x:c r="O65" s="12"/>
      <x:c r="P65" s="12"/>
      <x:c r="Q65" s="12"/>
      <x:c r="R65" s="13" t="str">
        <x:f>IF(AND(ISNUMBER(A65),ISNUMBER(B65),C65&lt;&gt;"",G65&lt;&gt;""),O65*P65*Q65/1000000,"")</x:f>
      </x:c>
      <x:c r="S65" s="13" t="str">
        <x:f>IF(AND(ISNUMBER(A65),ISNUMBER(B65),C65&lt;&gt;"",G65&lt;&gt;""),K65*R65,"")</x:f>
      </x:c>
      <x:c r="T65" s="13" t="str">
        <x:f>IF(AND(ISNUMBER(A65),ISNUMBER(B65),C65&lt;&gt;"",G65&lt;&gt;""),K65*M65,"")</x:f>
      </x:c>
      <x:c r="U65" s="13" t="str">
        <x:f>IF(AND(ISNUMBER(A65),ISNUMBER(B65),C65&lt;&gt;"",G65&lt;&gt;""),K65*N65,"")</x:f>
      </x:c>
    </x:row>
    <x:row r="66" ht="24" customHeight="1">
      <x:c r="A66" s="10"/>
      <x:c r="B66" s="10"/>
      <x:c r="C66" s="10"/>
      <x:c r="D66" s="11"/>
      <x:c r="E66" s="10"/>
      <x:c r="F66" s="10"/>
      <x:c r="G66" s="10"/>
      <x:c r="H66" s="10"/>
      <x:c r="I66" s="10"/>
      <x:c r="J66" s="9" t="str">
        <x:f>IF(AND(ISNUMBER(A66),ISNUMBER(B66),C66&lt;&gt;"",G66&lt;&gt;""),IF(F66="MULTIPLE PACK",H66*I66,H66),"")</x:f>
      </x:c>
      <x:c r="K66" s="9" t="str">
        <x:f>IF(AND(ISNUMBER(A66),ISNUMBER(B66),C66&lt;&gt;"",G66&lt;&gt;""),IF(COUNTIFS($A$7:A66,A66,$B$7:B66,B66,$C$7:C66,C66,$D$7:D66,D66)=1,B66-A66+1,0),"")</x:f>
      </x:c>
      <x:c r="L66" s="9" t="str">
        <x:f>IF(AND(ISNUMBER(A66),ISNUMBER(B66),C66&lt;&gt;"",G66&lt;&gt;""),(B66-A66+1)*J66,"")</x:f>
      </x:c>
      <x:c r="M66" s="12"/>
      <x:c r="N66" s="12"/>
      <x:c r="O66" s="12"/>
      <x:c r="P66" s="12"/>
      <x:c r="Q66" s="12"/>
      <x:c r="R66" s="13" t="str">
        <x:f>IF(AND(ISNUMBER(A66),ISNUMBER(B66),C66&lt;&gt;"",G66&lt;&gt;""),O66*P66*Q66/1000000,"")</x:f>
      </x:c>
      <x:c r="S66" s="13" t="str">
        <x:f>IF(AND(ISNUMBER(A66),ISNUMBER(B66),C66&lt;&gt;"",G66&lt;&gt;""),K66*R66,"")</x:f>
      </x:c>
      <x:c r="T66" s="13" t="str">
        <x:f>IF(AND(ISNUMBER(A66),ISNUMBER(B66),C66&lt;&gt;"",G66&lt;&gt;""),K66*M66,"")</x:f>
      </x:c>
      <x:c r="U66" s="13" t="str">
        <x:f>IF(AND(ISNUMBER(A66),ISNUMBER(B66),C66&lt;&gt;"",G66&lt;&gt;""),K66*N66,"")</x:f>
      </x:c>
    </x:row>
    <x:row r="67" ht="24" customHeight="1">
      <x:c r="A67" s="10"/>
      <x:c r="B67" s="10"/>
      <x:c r="C67" s="10"/>
      <x:c r="D67" s="11"/>
      <x:c r="E67" s="10"/>
      <x:c r="F67" s="10"/>
      <x:c r="G67" s="10"/>
      <x:c r="H67" s="10"/>
      <x:c r="I67" s="10"/>
      <x:c r="J67" s="9" t="str">
        <x:f>IF(AND(ISNUMBER(A67),ISNUMBER(B67),C67&lt;&gt;"",G67&lt;&gt;""),IF(F67="MULTIPLE PACK",H67*I67,H67),"")</x:f>
      </x:c>
      <x:c r="K67" s="9" t="str">
        <x:f>IF(AND(ISNUMBER(A67),ISNUMBER(B67),C67&lt;&gt;"",G67&lt;&gt;""),IF(COUNTIFS($A$7:A67,A67,$B$7:B67,B67,$C$7:C67,C67,$D$7:D67,D67)=1,B67-A67+1,0),"")</x:f>
      </x:c>
      <x:c r="L67" s="9" t="str">
        <x:f>IF(AND(ISNUMBER(A67),ISNUMBER(B67),C67&lt;&gt;"",G67&lt;&gt;""),(B67-A67+1)*J67,"")</x:f>
      </x:c>
      <x:c r="M67" s="12"/>
      <x:c r="N67" s="12"/>
      <x:c r="O67" s="12"/>
      <x:c r="P67" s="12"/>
      <x:c r="Q67" s="12"/>
      <x:c r="R67" s="13" t="str">
        <x:f>IF(AND(ISNUMBER(A67),ISNUMBER(B67),C67&lt;&gt;"",G67&lt;&gt;""),O67*P67*Q67/1000000,"")</x:f>
      </x:c>
      <x:c r="S67" s="13" t="str">
        <x:f>IF(AND(ISNUMBER(A67),ISNUMBER(B67),C67&lt;&gt;"",G67&lt;&gt;""),K67*R67,"")</x:f>
      </x:c>
      <x:c r="T67" s="13" t="str">
        <x:f>IF(AND(ISNUMBER(A67),ISNUMBER(B67),C67&lt;&gt;"",G67&lt;&gt;""),K67*M67,"")</x:f>
      </x:c>
      <x:c r="U67" s="13" t="str">
        <x:f>IF(AND(ISNUMBER(A67),ISNUMBER(B67),C67&lt;&gt;"",G67&lt;&gt;""),K67*N67,"")</x:f>
      </x:c>
    </x:row>
    <x:row r="68" ht="24" customHeight="1">
      <x:c r="A68" s="10"/>
      <x:c r="B68" s="10"/>
      <x:c r="C68" s="10"/>
      <x:c r="D68" s="11"/>
      <x:c r="E68" s="10"/>
      <x:c r="F68" s="10"/>
      <x:c r="G68" s="10"/>
      <x:c r="H68" s="10"/>
      <x:c r="I68" s="10"/>
      <x:c r="J68" s="9" t="str">
        <x:f>IF(AND(ISNUMBER(A68),ISNUMBER(B68),C68&lt;&gt;"",G68&lt;&gt;""),IF(F68="MULTIPLE PACK",H68*I68,H68),"")</x:f>
      </x:c>
      <x:c r="K68" s="9" t="str">
        <x:f>IF(AND(ISNUMBER(A68),ISNUMBER(B68),C68&lt;&gt;"",G68&lt;&gt;""),IF(COUNTIFS($A$7:A68,A68,$B$7:B68,B68,$C$7:C68,C68,$D$7:D68,D68)=1,B68-A68+1,0),"")</x:f>
      </x:c>
      <x:c r="L68" s="9" t="str">
        <x:f>IF(AND(ISNUMBER(A68),ISNUMBER(B68),C68&lt;&gt;"",G68&lt;&gt;""),(B68-A68+1)*J68,"")</x:f>
      </x:c>
      <x:c r="M68" s="12"/>
      <x:c r="N68" s="12"/>
      <x:c r="O68" s="12"/>
      <x:c r="P68" s="12"/>
      <x:c r="Q68" s="12"/>
      <x:c r="R68" s="13" t="str">
        <x:f>IF(AND(ISNUMBER(A68),ISNUMBER(B68),C68&lt;&gt;"",G68&lt;&gt;""),O68*P68*Q68/1000000,"")</x:f>
      </x:c>
      <x:c r="S68" s="13" t="str">
        <x:f>IF(AND(ISNUMBER(A68),ISNUMBER(B68),C68&lt;&gt;"",G68&lt;&gt;""),K68*R68,"")</x:f>
      </x:c>
      <x:c r="T68" s="13" t="str">
        <x:f>IF(AND(ISNUMBER(A68),ISNUMBER(B68),C68&lt;&gt;"",G68&lt;&gt;""),K68*M68,"")</x:f>
      </x:c>
      <x:c r="U68" s="13" t="str">
        <x:f>IF(AND(ISNUMBER(A68),ISNUMBER(B68),C68&lt;&gt;"",G68&lt;&gt;""),K68*N68,"")</x:f>
      </x:c>
    </x:row>
    <x:row r="69" ht="24" customHeight="1">
      <x:c r="A69" s="10"/>
      <x:c r="B69" s="10"/>
      <x:c r="C69" s="10"/>
      <x:c r="D69" s="11"/>
      <x:c r="E69" s="10"/>
      <x:c r="F69" s="10"/>
      <x:c r="G69" s="10"/>
      <x:c r="H69" s="10"/>
      <x:c r="I69" s="10"/>
      <x:c r="J69" s="9" t="str">
        <x:f>IF(AND(ISNUMBER(A69),ISNUMBER(B69),C69&lt;&gt;"",G69&lt;&gt;""),IF(F69="MULTIPLE PACK",H69*I69,H69),"")</x:f>
      </x:c>
      <x:c r="K69" s="9" t="str">
        <x:f>IF(AND(ISNUMBER(A69),ISNUMBER(B69),C69&lt;&gt;"",G69&lt;&gt;""),IF(COUNTIFS($A$7:A69,A69,$B$7:B69,B69,$C$7:C69,C69,$D$7:D69,D69)=1,B69-A69+1,0),"")</x:f>
      </x:c>
      <x:c r="L69" s="9" t="str">
        <x:f>IF(AND(ISNUMBER(A69),ISNUMBER(B69),C69&lt;&gt;"",G69&lt;&gt;""),(B69-A69+1)*J69,"")</x:f>
      </x:c>
      <x:c r="M69" s="12"/>
      <x:c r="N69" s="12"/>
      <x:c r="O69" s="12"/>
      <x:c r="P69" s="12"/>
      <x:c r="Q69" s="12"/>
      <x:c r="R69" s="13" t="str">
        <x:f>IF(AND(ISNUMBER(A69),ISNUMBER(B69),C69&lt;&gt;"",G69&lt;&gt;""),O69*P69*Q69/1000000,"")</x:f>
      </x:c>
      <x:c r="S69" s="13" t="str">
        <x:f>IF(AND(ISNUMBER(A69),ISNUMBER(B69),C69&lt;&gt;"",G69&lt;&gt;""),K69*R69,"")</x:f>
      </x:c>
      <x:c r="T69" s="13" t="str">
        <x:f>IF(AND(ISNUMBER(A69),ISNUMBER(B69),C69&lt;&gt;"",G69&lt;&gt;""),K69*M69,"")</x:f>
      </x:c>
      <x:c r="U69" s="13" t="str">
        <x:f>IF(AND(ISNUMBER(A69),ISNUMBER(B69),C69&lt;&gt;"",G69&lt;&gt;""),K69*N69,"")</x:f>
      </x:c>
    </x:row>
    <x:row r="70" ht="24" customHeight="1">
      <x:c r="A70" s="10"/>
      <x:c r="B70" s="10"/>
      <x:c r="C70" s="10"/>
      <x:c r="D70" s="11"/>
      <x:c r="E70" s="10"/>
      <x:c r="F70" s="10"/>
      <x:c r="G70" s="10"/>
      <x:c r="H70" s="10"/>
      <x:c r="I70" s="10"/>
      <x:c r="J70" s="9" t="str">
        <x:f>IF(AND(ISNUMBER(A70),ISNUMBER(B70),C70&lt;&gt;"",G70&lt;&gt;""),IF(F70="MULTIPLE PACK",H70*I70,H70),"")</x:f>
      </x:c>
      <x:c r="K70" s="9" t="str">
        <x:f>IF(AND(ISNUMBER(A70),ISNUMBER(B70),C70&lt;&gt;"",G70&lt;&gt;""),IF(COUNTIFS($A$7:A70,A70,$B$7:B70,B70,$C$7:C70,C70,$D$7:D70,D70)=1,B70-A70+1,0),"")</x:f>
      </x:c>
      <x:c r="L70" s="9" t="str">
        <x:f>IF(AND(ISNUMBER(A70),ISNUMBER(B70),C70&lt;&gt;"",G70&lt;&gt;""),(B70-A70+1)*J70,"")</x:f>
      </x:c>
      <x:c r="M70" s="12"/>
      <x:c r="N70" s="12"/>
      <x:c r="O70" s="12"/>
      <x:c r="P70" s="12"/>
      <x:c r="Q70" s="12"/>
      <x:c r="R70" s="13" t="str">
        <x:f>IF(AND(ISNUMBER(A70),ISNUMBER(B70),C70&lt;&gt;"",G70&lt;&gt;""),O70*P70*Q70/1000000,"")</x:f>
      </x:c>
      <x:c r="S70" s="13" t="str">
        <x:f>IF(AND(ISNUMBER(A70),ISNUMBER(B70),C70&lt;&gt;"",G70&lt;&gt;""),K70*R70,"")</x:f>
      </x:c>
      <x:c r="T70" s="13" t="str">
        <x:f>IF(AND(ISNUMBER(A70),ISNUMBER(B70),C70&lt;&gt;"",G70&lt;&gt;""),K70*M70,"")</x:f>
      </x:c>
      <x:c r="U70" s="13" t="str">
        <x:f>IF(AND(ISNUMBER(A70),ISNUMBER(B70),C70&lt;&gt;"",G70&lt;&gt;""),K70*N70,"")</x:f>
      </x:c>
    </x:row>
    <x:row r="71" ht="24" customHeight="1">
      <x:c r="A71" s="10"/>
      <x:c r="B71" s="10"/>
      <x:c r="C71" s="10"/>
      <x:c r="D71" s="11"/>
      <x:c r="E71" s="10"/>
      <x:c r="F71" s="10"/>
      <x:c r="G71" s="10"/>
      <x:c r="H71" s="10"/>
      <x:c r="I71" s="10"/>
      <x:c r="J71" s="9" t="str">
        <x:f>IF(AND(ISNUMBER(A71),ISNUMBER(B71),C71&lt;&gt;"",G71&lt;&gt;""),IF(F71="MULTIPLE PACK",H71*I71,H71),"")</x:f>
      </x:c>
      <x:c r="K71" s="9" t="str">
        <x:f>IF(AND(ISNUMBER(A71),ISNUMBER(B71),C71&lt;&gt;"",G71&lt;&gt;""),IF(COUNTIFS($A$7:A71,A71,$B$7:B71,B71,$C$7:C71,C71,$D$7:D71,D71)=1,B71-A71+1,0),"")</x:f>
      </x:c>
      <x:c r="L71" s="9" t="str">
        <x:f>IF(AND(ISNUMBER(A71),ISNUMBER(B71),C71&lt;&gt;"",G71&lt;&gt;""),(B71-A71+1)*J71,"")</x:f>
      </x:c>
      <x:c r="M71" s="12"/>
      <x:c r="N71" s="12"/>
      <x:c r="O71" s="12"/>
      <x:c r="P71" s="12"/>
      <x:c r="Q71" s="12"/>
      <x:c r="R71" s="13" t="str">
        <x:f>IF(AND(ISNUMBER(A71),ISNUMBER(B71),C71&lt;&gt;"",G71&lt;&gt;""),O71*P71*Q71/1000000,"")</x:f>
      </x:c>
      <x:c r="S71" s="13" t="str">
        <x:f>IF(AND(ISNUMBER(A71),ISNUMBER(B71),C71&lt;&gt;"",G71&lt;&gt;""),K71*R71,"")</x:f>
      </x:c>
      <x:c r="T71" s="13" t="str">
        <x:f>IF(AND(ISNUMBER(A71),ISNUMBER(B71),C71&lt;&gt;"",G71&lt;&gt;""),K71*M71,"")</x:f>
      </x:c>
      <x:c r="U71" s="13" t="str">
        <x:f>IF(AND(ISNUMBER(A71),ISNUMBER(B71),C71&lt;&gt;"",G71&lt;&gt;""),K71*N71,"")</x:f>
      </x:c>
    </x:row>
    <x:row r="72" ht="24" customHeight="1">
      <x:c r="A72" s="10"/>
      <x:c r="B72" s="10"/>
      <x:c r="C72" s="10"/>
      <x:c r="D72" s="11"/>
      <x:c r="E72" s="10"/>
      <x:c r="F72" s="10"/>
      <x:c r="G72" s="10"/>
      <x:c r="H72" s="10"/>
      <x:c r="I72" s="10"/>
      <x:c r="J72" s="9" t="str">
        <x:f>IF(AND(ISNUMBER(A72),ISNUMBER(B72),C72&lt;&gt;"",G72&lt;&gt;""),IF(F72="MULTIPLE PACK",H72*I72,H72),"")</x:f>
      </x:c>
      <x:c r="K72" s="9" t="str">
        <x:f>IF(AND(ISNUMBER(A72),ISNUMBER(B72),C72&lt;&gt;"",G72&lt;&gt;""),IF(COUNTIFS($A$7:A72,A72,$B$7:B72,B72,$C$7:C72,C72,$D$7:D72,D72)=1,B72-A72+1,0),"")</x:f>
      </x:c>
      <x:c r="L72" s="9" t="str">
        <x:f>IF(AND(ISNUMBER(A72),ISNUMBER(B72),C72&lt;&gt;"",G72&lt;&gt;""),(B72-A72+1)*J72,"")</x:f>
      </x:c>
      <x:c r="M72" s="12"/>
      <x:c r="N72" s="12"/>
      <x:c r="O72" s="12"/>
      <x:c r="P72" s="12"/>
      <x:c r="Q72" s="12"/>
      <x:c r="R72" s="13" t="str">
        <x:f>IF(AND(ISNUMBER(A72),ISNUMBER(B72),C72&lt;&gt;"",G72&lt;&gt;""),O72*P72*Q72/1000000,"")</x:f>
      </x:c>
      <x:c r="S72" s="13" t="str">
        <x:f>IF(AND(ISNUMBER(A72),ISNUMBER(B72),C72&lt;&gt;"",G72&lt;&gt;""),K72*R72,"")</x:f>
      </x:c>
      <x:c r="T72" s="13" t="str">
        <x:f>IF(AND(ISNUMBER(A72),ISNUMBER(B72),C72&lt;&gt;"",G72&lt;&gt;""),K72*M72,"")</x:f>
      </x:c>
      <x:c r="U72" s="13" t="str">
        <x:f>IF(AND(ISNUMBER(A72),ISNUMBER(B72),C72&lt;&gt;"",G72&lt;&gt;""),K72*N72,"")</x:f>
      </x:c>
    </x:row>
    <x:row r="73" ht="24" customHeight="1">
      <x:c r="A73" s="10"/>
      <x:c r="B73" s="10"/>
      <x:c r="C73" s="10"/>
      <x:c r="D73" s="11"/>
      <x:c r="E73" s="10"/>
      <x:c r="F73" s="10"/>
      <x:c r="G73" s="10"/>
      <x:c r="H73" s="10"/>
      <x:c r="I73" s="10"/>
      <x:c r="J73" s="9" t="str">
        <x:f>IF(AND(ISNUMBER(A73),ISNUMBER(B73),C73&lt;&gt;"",G73&lt;&gt;""),IF(F73="MULTIPLE PACK",H73*I73,H73),"")</x:f>
      </x:c>
      <x:c r="K73" s="9" t="str">
        <x:f>IF(AND(ISNUMBER(A73),ISNUMBER(B73),C73&lt;&gt;"",G73&lt;&gt;""),IF(COUNTIFS($A$7:A73,A73,$B$7:B73,B73,$C$7:C73,C73,$D$7:D73,D73)=1,B73-A73+1,0),"")</x:f>
      </x:c>
      <x:c r="L73" s="9" t="str">
        <x:f>IF(AND(ISNUMBER(A73),ISNUMBER(B73),C73&lt;&gt;"",G73&lt;&gt;""),(B73-A73+1)*J73,"")</x:f>
      </x:c>
      <x:c r="M73" s="12"/>
      <x:c r="N73" s="12"/>
      <x:c r="O73" s="12"/>
      <x:c r="P73" s="12"/>
      <x:c r="Q73" s="12"/>
      <x:c r="R73" s="13" t="str">
        <x:f>IF(AND(ISNUMBER(A73),ISNUMBER(B73),C73&lt;&gt;"",G73&lt;&gt;""),O73*P73*Q73/1000000,"")</x:f>
      </x:c>
      <x:c r="S73" s="13" t="str">
        <x:f>IF(AND(ISNUMBER(A73),ISNUMBER(B73),C73&lt;&gt;"",G73&lt;&gt;""),K73*R73,"")</x:f>
      </x:c>
      <x:c r="T73" s="13" t="str">
        <x:f>IF(AND(ISNUMBER(A73),ISNUMBER(B73),C73&lt;&gt;"",G73&lt;&gt;""),K73*M73,"")</x:f>
      </x:c>
      <x:c r="U73" s="13" t="str">
        <x:f>IF(AND(ISNUMBER(A73),ISNUMBER(B73),C73&lt;&gt;"",G73&lt;&gt;""),K73*N73,"")</x:f>
      </x:c>
    </x:row>
    <x:row r="74" ht="24" customHeight="1">
      <x:c r="A74" s="10"/>
      <x:c r="B74" s="10"/>
      <x:c r="C74" s="10"/>
      <x:c r="D74" s="11"/>
      <x:c r="E74" s="10"/>
      <x:c r="F74" s="10"/>
      <x:c r="G74" s="10"/>
      <x:c r="H74" s="10"/>
      <x:c r="I74" s="10"/>
      <x:c r="J74" s="9" t="str">
        <x:f>IF(AND(ISNUMBER(A74),ISNUMBER(B74),C74&lt;&gt;"",G74&lt;&gt;""),IF(F74="MULTIPLE PACK",H74*I74,H74),"")</x:f>
      </x:c>
      <x:c r="K74" s="9" t="str">
        <x:f>IF(AND(ISNUMBER(A74),ISNUMBER(B74),C74&lt;&gt;"",G74&lt;&gt;""),IF(COUNTIFS($A$7:A74,A74,$B$7:B74,B74,$C$7:C74,C74,$D$7:D74,D74)=1,B74-A74+1,0),"")</x:f>
      </x:c>
      <x:c r="L74" s="9" t="str">
        <x:f>IF(AND(ISNUMBER(A74),ISNUMBER(B74),C74&lt;&gt;"",G74&lt;&gt;""),(B74-A74+1)*J74,"")</x:f>
      </x:c>
      <x:c r="M74" s="12"/>
      <x:c r="N74" s="12"/>
      <x:c r="O74" s="12"/>
      <x:c r="P74" s="12"/>
      <x:c r="Q74" s="12"/>
      <x:c r="R74" s="13" t="str">
        <x:f>IF(AND(ISNUMBER(A74),ISNUMBER(B74),C74&lt;&gt;"",G74&lt;&gt;""),O74*P74*Q74/1000000,"")</x:f>
      </x:c>
      <x:c r="S74" s="13" t="str">
        <x:f>IF(AND(ISNUMBER(A74),ISNUMBER(B74),C74&lt;&gt;"",G74&lt;&gt;""),K74*R74,"")</x:f>
      </x:c>
      <x:c r="T74" s="13" t="str">
        <x:f>IF(AND(ISNUMBER(A74),ISNUMBER(B74),C74&lt;&gt;"",G74&lt;&gt;""),K74*M74,"")</x:f>
      </x:c>
      <x:c r="U74" s="13" t="str">
        <x:f>IF(AND(ISNUMBER(A74),ISNUMBER(B74),C74&lt;&gt;"",G74&lt;&gt;""),K74*N74,"")</x:f>
      </x:c>
    </x:row>
    <x:row r="75" ht="24" customHeight="1">
      <x:c r="A75" s="10"/>
      <x:c r="B75" s="10"/>
      <x:c r="C75" s="10"/>
      <x:c r="D75" s="11"/>
      <x:c r="E75" s="10"/>
      <x:c r="F75" s="10"/>
      <x:c r="G75" s="10"/>
      <x:c r="H75" s="10"/>
      <x:c r="I75" s="10"/>
      <x:c r="J75" s="9" t="str">
        <x:f>IF(AND(ISNUMBER(A75),ISNUMBER(B75),C75&lt;&gt;"",G75&lt;&gt;""),IF(F75="MULTIPLE PACK",H75*I75,H75),"")</x:f>
      </x:c>
      <x:c r="K75" s="9" t="str">
        <x:f>IF(AND(ISNUMBER(A75),ISNUMBER(B75),C75&lt;&gt;"",G75&lt;&gt;""),IF(COUNTIFS($A$7:A75,A75,$B$7:B75,B75,$C$7:C75,C75,$D$7:D75,D75)=1,B75-A75+1,0),"")</x:f>
      </x:c>
      <x:c r="L75" s="9" t="str">
        <x:f>IF(AND(ISNUMBER(A75),ISNUMBER(B75),C75&lt;&gt;"",G75&lt;&gt;""),(B75-A75+1)*J75,"")</x:f>
      </x:c>
      <x:c r="M75" s="12"/>
      <x:c r="N75" s="12"/>
      <x:c r="O75" s="12"/>
      <x:c r="P75" s="12"/>
      <x:c r="Q75" s="12"/>
      <x:c r="R75" s="13" t="str">
        <x:f>IF(AND(ISNUMBER(A75),ISNUMBER(B75),C75&lt;&gt;"",G75&lt;&gt;""),O75*P75*Q75/1000000,"")</x:f>
      </x:c>
      <x:c r="S75" s="13" t="str">
        <x:f>IF(AND(ISNUMBER(A75),ISNUMBER(B75),C75&lt;&gt;"",G75&lt;&gt;""),K75*R75,"")</x:f>
      </x:c>
      <x:c r="T75" s="13" t="str">
        <x:f>IF(AND(ISNUMBER(A75),ISNUMBER(B75),C75&lt;&gt;"",G75&lt;&gt;""),K75*M75,"")</x:f>
      </x:c>
      <x:c r="U75" s="13" t="str">
        <x:f>IF(AND(ISNUMBER(A75),ISNUMBER(B75),C75&lt;&gt;"",G75&lt;&gt;""),K75*N75,"")</x:f>
      </x:c>
    </x:row>
    <x:row r="76" ht="24" customHeight="1">
      <x:c r="A76" s="10"/>
      <x:c r="B76" s="10"/>
      <x:c r="C76" s="10"/>
      <x:c r="D76" s="11"/>
      <x:c r="E76" s="10"/>
      <x:c r="F76" s="10"/>
      <x:c r="G76" s="10"/>
      <x:c r="H76" s="10"/>
      <x:c r="I76" s="10"/>
      <x:c r="J76" s="9" t="str">
        <x:f>IF(AND(ISNUMBER(A76),ISNUMBER(B76),C76&lt;&gt;"",G76&lt;&gt;""),IF(F76="MULTIPLE PACK",H76*I76,H76),"")</x:f>
      </x:c>
      <x:c r="K76" s="9" t="str">
        <x:f>IF(AND(ISNUMBER(A76),ISNUMBER(B76),C76&lt;&gt;"",G76&lt;&gt;""),IF(COUNTIFS($A$7:A76,A76,$B$7:B76,B76,$C$7:C76,C76,$D$7:D76,D76)=1,B76-A76+1,0),"")</x:f>
      </x:c>
      <x:c r="L76" s="9" t="str">
        <x:f>IF(AND(ISNUMBER(A76),ISNUMBER(B76),C76&lt;&gt;"",G76&lt;&gt;""),(B76-A76+1)*J76,"")</x:f>
      </x:c>
      <x:c r="M76" s="12"/>
      <x:c r="N76" s="12"/>
      <x:c r="O76" s="12"/>
      <x:c r="P76" s="12"/>
      <x:c r="Q76" s="12"/>
      <x:c r="R76" s="13" t="str">
        <x:f>IF(AND(ISNUMBER(A76),ISNUMBER(B76),C76&lt;&gt;"",G76&lt;&gt;""),O76*P76*Q76/1000000,"")</x:f>
      </x:c>
      <x:c r="S76" s="13" t="str">
        <x:f>IF(AND(ISNUMBER(A76),ISNUMBER(B76),C76&lt;&gt;"",G76&lt;&gt;""),K76*R76,"")</x:f>
      </x:c>
      <x:c r="T76" s="13" t="str">
        <x:f>IF(AND(ISNUMBER(A76),ISNUMBER(B76),C76&lt;&gt;"",G76&lt;&gt;""),K76*M76,"")</x:f>
      </x:c>
      <x:c r="U76" s="13" t="str">
        <x:f>IF(AND(ISNUMBER(A76),ISNUMBER(B76),C76&lt;&gt;"",G76&lt;&gt;""),K76*N76,"")</x:f>
      </x:c>
    </x:row>
    <x:row r="77" ht="24" customHeight="1">
      <x:c r="A77" s="10"/>
      <x:c r="B77" s="10"/>
      <x:c r="C77" s="10"/>
      <x:c r="D77" s="11"/>
      <x:c r="E77" s="10"/>
      <x:c r="F77" s="10"/>
      <x:c r="G77" s="10"/>
      <x:c r="H77" s="10"/>
      <x:c r="I77" s="10"/>
      <x:c r="J77" s="9" t="str">
        <x:f>IF(AND(ISNUMBER(A77),ISNUMBER(B77),C77&lt;&gt;"",G77&lt;&gt;""),IF(F77="MULTIPLE PACK",H77*I77,H77),"")</x:f>
      </x:c>
      <x:c r="K77" s="9" t="str">
        <x:f>IF(AND(ISNUMBER(A77),ISNUMBER(B77),C77&lt;&gt;"",G77&lt;&gt;""),IF(COUNTIFS($A$7:A77,A77,$B$7:B77,B77,$C$7:C77,C77,$D$7:D77,D77)=1,B77-A77+1,0),"")</x:f>
      </x:c>
      <x:c r="L77" s="9" t="str">
        <x:f>IF(AND(ISNUMBER(A77),ISNUMBER(B77),C77&lt;&gt;"",G77&lt;&gt;""),(B77-A77+1)*J77,"")</x:f>
      </x:c>
      <x:c r="M77" s="12"/>
      <x:c r="N77" s="12"/>
      <x:c r="O77" s="12"/>
      <x:c r="P77" s="12"/>
      <x:c r="Q77" s="12"/>
      <x:c r="R77" s="13" t="str">
        <x:f>IF(AND(ISNUMBER(A77),ISNUMBER(B77),C77&lt;&gt;"",G77&lt;&gt;""),O77*P77*Q77/1000000,"")</x:f>
      </x:c>
      <x:c r="S77" s="13" t="str">
        <x:f>IF(AND(ISNUMBER(A77),ISNUMBER(B77),C77&lt;&gt;"",G77&lt;&gt;""),K77*R77,"")</x:f>
      </x:c>
      <x:c r="T77" s="13" t="str">
        <x:f>IF(AND(ISNUMBER(A77),ISNUMBER(B77),C77&lt;&gt;"",G77&lt;&gt;""),K77*M77,"")</x:f>
      </x:c>
      <x:c r="U77" s="13" t="str">
        <x:f>IF(AND(ISNUMBER(A77),ISNUMBER(B77),C77&lt;&gt;"",G77&lt;&gt;""),K77*N77,"")</x:f>
      </x:c>
    </x:row>
    <x:row r="78" ht="24" customHeight="1">
      <x:c r="A78" s="10"/>
      <x:c r="B78" s="10"/>
      <x:c r="C78" s="10"/>
      <x:c r="D78" s="11"/>
      <x:c r="E78" s="10"/>
      <x:c r="F78" s="10"/>
      <x:c r="G78" s="10"/>
      <x:c r="H78" s="10"/>
      <x:c r="I78" s="10"/>
      <x:c r="J78" s="9" t="str">
        <x:f>IF(AND(ISNUMBER(A78),ISNUMBER(B78),C78&lt;&gt;"",G78&lt;&gt;""),IF(F78="MULTIPLE PACK",H78*I78,H78),"")</x:f>
      </x:c>
      <x:c r="K78" s="9" t="str">
        <x:f>IF(AND(ISNUMBER(A78),ISNUMBER(B78),C78&lt;&gt;"",G78&lt;&gt;""),IF(COUNTIFS($A$7:A78,A78,$B$7:B78,B78,$C$7:C78,C78,$D$7:D78,D78)=1,B78-A78+1,0),"")</x:f>
      </x:c>
      <x:c r="L78" s="9" t="str">
        <x:f>IF(AND(ISNUMBER(A78),ISNUMBER(B78),C78&lt;&gt;"",G78&lt;&gt;""),(B78-A78+1)*J78,"")</x:f>
      </x:c>
      <x:c r="M78" s="12"/>
      <x:c r="N78" s="12"/>
      <x:c r="O78" s="12"/>
      <x:c r="P78" s="12"/>
      <x:c r="Q78" s="12"/>
      <x:c r="R78" s="13" t="str">
        <x:f>IF(AND(ISNUMBER(A78),ISNUMBER(B78),C78&lt;&gt;"",G78&lt;&gt;""),O78*P78*Q78/1000000,"")</x:f>
      </x:c>
      <x:c r="S78" s="13" t="str">
        <x:f>IF(AND(ISNUMBER(A78),ISNUMBER(B78),C78&lt;&gt;"",G78&lt;&gt;""),K78*R78,"")</x:f>
      </x:c>
      <x:c r="T78" s="13" t="str">
        <x:f>IF(AND(ISNUMBER(A78),ISNUMBER(B78),C78&lt;&gt;"",G78&lt;&gt;""),K78*M78,"")</x:f>
      </x:c>
      <x:c r="U78" s="13" t="str">
        <x:f>IF(AND(ISNUMBER(A78),ISNUMBER(B78),C78&lt;&gt;"",G78&lt;&gt;""),K78*N78,"")</x:f>
      </x:c>
    </x:row>
    <x:row r="79" ht="24" customHeight="1">
      <x:c r="A79" s="10"/>
      <x:c r="B79" s="10"/>
      <x:c r="C79" s="10"/>
      <x:c r="D79" s="11"/>
      <x:c r="E79" s="10"/>
      <x:c r="F79" s="10"/>
      <x:c r="G79" s="10"/>
      <x:c r="H79" s="10"/>
      <x:c r="I79" s="10"/>
      <x:c r="J79" s="9" t="str">
        <x:f>IF(AND(ISNUMBER(A79),ISNUMBER(B79),C79&lt;&gt;"",G79&lt;&gt;""),IF(F79="MULTIPLE PACK",H79*I79,H79),"")</x:f>
      </x:c>
      <x:c r="K79" s="9" t="str">
        <x:f>IF(AND(ISNUMBER(A79),ISNUMBER(B79),C79&lt;&gt;"",G79&lt;&gt;""),IF(COUNTIFS($A$7:A79,A79,$B$7:B79,B79,$C$7:C79,C79,$D$7:D79,D79)=1,B79-A79+1,0),"")</x:f>
      </x:c>
      <x:c r="L79" s="9" t="str">
        <x:f>IF(AND(ISNUMBER(A79),ISNUMBER(B79),C79&lt;&gt;"",G79&lt;&gt;""),(B79-A79+1)*J79,"")</x:f>
      </x:c>
      <x:c r="M79" s="12"/>
      <x:c r="N79" s="12"/>
      <x:c r="O79" s="12"/>
      <x:c r="P79" s="12"/>
      <x:c r="Q79" s="12"/>
      <x:c r="R79" s="13" t="str">
        <x:f>IF(AND(ISNUMBER(A79),ISNUMBER(B79),C79&lt;&gt;"",G79&lt;&gt;""),O79*P79*Q79/1000000,"")</x:f>
      </x:c>
      <x:c r="S79" s="13" t="str">
        <x:f>IF(AND(ISNUMBER(A79),ISNUMBER(B79),C79&lt;&gt;"",G79&lt;&gt;""),K79*R79,"")</x:f>
      </x:c>
      <x:c r="T79" s="13" t="str">
        <x:f>IF(AND(ISNUMBER(A79),ISNUMBER(B79),C79&lt;&gt;"",G79&lt;&gt;""),K79*M79,"")</x:f>
      </x:c>
      <x:c r="U79" s="13" t="str">
        <x:f>IF(AND(ISNUMBER(A79),ISNUMBER(B79),C79&lt;&gt;"",G79&lt;&gt;""),K79*N79,"")</x:f>
      </x:c>
    </x:row>
    <x:row r="80" ht="24" customHeight="1">
      <x:c r="A80" s="10"/>
      <x:c r="B80" s="10"/>
      <x:c r="C80" s="10"/>
      <x:c r="D80" s="11"/>
      <x:c r="E80" s="10"/>
      <x:c r="F80" s="10"/>
      <x:c r="G80" s="10"/>
      <x:c r="H80" s="10"/>
      <x:c r="I80" s="10"/>
      <x:c r="J80" s="9" t="str">
        <x:f>IF(AND(ISNUMBER(A80),ISNUMBER(B80),C80&lt;&gt;"",G80&lt;&gt;""),IF(F80="MULTIPLE PACK",H80*I80,H80),"")</x:f>
      </x:c>
      <x:c r="K80" s="9" t="str">
        <x:f>IF(AND(ISNUMBER(A80),ISNUMBER(B80),C80&lt;&gt;"",G80&lt;&gt;""),IF(COUNTIFS($A$7:A80,A80,$B$7:B80,B80,$C$7:C80,C80,$D$7:D80,D80)=1,B80-A80+1,0),"")</x:f>
      </x:c>
      <x:c r="L80" s="9" t="str">
        <x:f>IF(AND(ISNUMBER(A80),ISNUMBER(B80),C80&lt;&gt;"",G80&lt;&gt;""),(B80-A80+1)*J80,"")</x:f>
      </x:c>
      <x:c r="M80" s="12"/>
      <x:c r="N80" s="12"/>
      <x:c r="O80" s="12"/>
      <x:c r="P80" s="12"/>
      <x:c r="Q80" s="12"/>
      <x:c r="R80" s="13" t="str">
        <x:f>IF(AND(ISNUMBER(A80),ISNUMBER(B80),C80&lt;&gt;"",G80&lt;&gt;""),O80*P80*Q80/1000000,"")</x:f>
      </x:c>
      <x:c r="S80" s="13" t="str">
        <x:f>IF(AND(ISNUMBER(A80),ISNUMBER(B80),C80&lt;&gt;"",G80&lt;&gt;""),K80*R80,"")</x:f>
      </x:c>
      <x:c r="T80" s="13" t="str">
        <x:f>IF(AND(ISNUMBER(A80),ISNUMBER(B80),C80&lt;&gt;"",G80&lt;&gt;""),K80*M80,"")</x:f>
      </x:c>
      <x:c r="U80" s="13" t="str">
        <x:f>IF(AND(ISNUMBER(A80),ISNUMBER(B80),C80&lt;&gt;"",G80&lt;&gt;""),K80*N80,"")</x:f>
      </x:c>
    </x:row>
    <x:row r="81" ht="24" customHeight="1">
      <x:c r="A81" s="10"/>
      <x:c r="B81" s="10"/>
      <x:c r="C81" s="10"/>
      <x:c r="D81" s="11"/>
      <x:c r="E81" s="10"/>
      <x:c r="F81" s="10"/>
      <x:c r="G81" s="10"/>
      <x:c r="H81" s="10"/>
      <x:c r="I81" s="10"/>
      <x:c r="J81" s="9" t="str">
        <x:f>IF(AND(ISNUMBER(A81),ISNUMBER(B81),C81&lt;&gt;"",G81&lt;&gt;""),IF(F81="MULTIPLE PACK",H81*I81,H81),"")</x:f>
      </x:c>
      <x:c r="K81" s="9" t="str">
        <x:f>IF(AND(ISNUMBER(A81),ISNUMBER(B81),C81&lt;&gt;"",G81&lt;&gt;""),IF(COUNTIFS($A$7:A81,A81,$B$7:B81,B81,$C$7:C81,C81,$D$7:D81,D81)=1,B81-A81+1,0),"")</x:f>
      </x:c>
      <x:c r="L81" s="9" t="str">
        <x:f>IF(AND(ISNUMBER(A81),ISNUMBER(B81),C81&lt;&gt;"",G81&lt;&gt;""),(B81-A81+1)*J81,"")</x:f>
      </x:c>
      <x:c r="M81" s="12"/>
      <x:c r="N81" s="12"/>
      <x:c r="O81" s="12"/>
      <x:c r="P81" s="12"/>
      <x:c r="Q81" s="12"/>
      <x:c r="R81" s="13" t="str">
        <x:f>IF(AND(ISNUMBER(A81),ISNUMBER(B81),C81&lt;&gt;"",G81&lt;&gt;""),O81*P81*Q81/1000000,"")</x:f>
      </x:c>
      <x:c r="S81" s="13" t="str">
        <x:f>IF(AND(ISNUMBER(A81),ISNUMBER(B81),C81&lt;&gt;"",G81&lt;&gt;""),K81*R81,"")</x:f>
      </x:c>
      <x:c r="T81" s="13" t="str">
        <x:f>IF(AND(ISNUMBER(A81),ISNUMBER(B81),C81&lt;&gt;"",G81&lt;&gt;""),K81*M81,"")</x:f>
      </x:c>
      <x:c r="U81" s="13" t="str">
        <x:f>IF(AND(ISNUMBER(A81),ISNUMBER(B81),C81&lt;&gt;"",G81&lt;&gt;""),K81*N81,"")</x:f>
      </x:c>
    </x:row>
    <x:row r="82" ht="24" customHeight="1">
      <x:c r="A82" s="10"/>
      <x:c r="B82" s="10"/>
      <x:c r="C82" s="10"/>
      <x:c r="D82" s="11"/>
      <x:c r="E82" s="10"/>
      <x:c r="F82" s="10"/>
      <x:c r="G82" s="10"/>
      <x:c r="H82" s="10"/>
      <x:c r="I82" s="10"/>
      <x:c r="J82" s="9" t="str">
        <x:f>IF(AND(ISNUMBER(A82),ISNUMBER(B82),C82&lt;&gt;"",G82&lt;&gt;""),IF(F82="MULTIPLE PACK",H82*I82,H82),"")</x:f>
      </x:c>
      <x:c r="K82" s="9" t="str">
        <x:f>IF(AND(ISNUMBER(A82),ISNUMBER(B82),C82&lt;&gt;"",G82&lt;&gt;""),IF(COUNTIFS($A$7:A82,A82,$B$7:B82,B82,$C$7:C82,C82,$D$7:D82,D82)=1,B82-A82+1,0),"")</x:f>
      </x:c>
      <x:c r="L82" s="9" t="str">
        <x:f>IF(AND(ISNUMBER(A82),ISNUMBER(B82),C82&lt;&gt;"",G82&lt;&gt;""),(B82-A82+1)*J82,"")</x:f>
      </x:c>
      <x:c r="M82" s="12"/>
      <x:c r="N82" s="12"/>
      <x:c r="O82" s="12"/>
      <x:c r="P82" s="12"/>
      <x:c r="Q82" s="12"/>
      <x:c r="R82" s="13" t="str">
        <x:f>IF(AND(ISNUMBER(A82),ISNUMBER(B82),C82&lt;&gt;"",G82&lt;&gt;""),O82*P82*Q82/1000000,"")</x:f>
      </x:c>
      <x:c r="S82" s="13" t="str">
        <x:f>IF(AND(ISNUMBER(A82),ISNUMBER(B82),C82&lt;&gt;"",G82&lt;&gt;""),K82*R82,"")</x:f>
      </x:c>
      <x:c r="T82" s="13" t="str">
        <x:f>IF(AND(ISNUMBER(A82),ISNUMBER(B82),C82&lt;&gt;"",G82&lt;&gt;""),K82*M82,"")</x:f>
      </x:c>
      <x:c r="U82" s="13" t="str">
        <x:f>IF(AND(ISNUMBER(A82),ISNUMBER(B82),C82&lt;&gt;"",G82&lt;&gt;""),K82*N82,"")</x:f>
      </x:c>
    </x:row>
    <x:row r="83" ht="24" customHeight="1">
      <x:c r="A83" s="10"/>
      <x:c r="B83" s="10"/>
      <x:c r="C83" s="10"/>
      <x:c r="D83" s="11"/>
      <x:c r="E83" s="10"/>
      <x:c r="F83" s="10"/>
      <x:c r="G83" s="10"/>
      <x:c r="H83" s="10"/>
      <x:c r="I83" s="10"/>
      <x:c r="J83" s="9" t="str">
        <x:f>IF(AND(ISNUMBER(A83),ISNUMBER(B83),C83&lt;&gt;"",G83&lt;&gt;""),IF(F83="MULTIPLE PACK",H83*I83,H83),"")</x:f>
      </x:c>
      <x:c r="K83" s="9" t="str">
        <x:f>IF(AND(ISNUMBER(A83),ISNUMBER(B83),C83&lt;&gt;"",G83&lt;&gt;""),IF(COUNTIFS($A$7:A83,A83,$B$7:B83,B83,$C$7:C83,C83,$D$7:D83,D83)=1,B83-A83+1,0),"")</x:f>
      </x:c>
      <x:c r="L83" s="9" t="str">
        <x:f>IF(AND(ISNUMBER(A83),ISNUMBER(B83),C83&lt;&gt;"",G83&lt;&gt;""),(B83-A83+1)*J83,"")</x:f>
      </x:c>
      <x:c r="M83" s="12"/>
      <x:c r="N83" s="12"/>
      <x:c r="O83" s="12"/>
      <x:c r="P83" s="12"/>
      <x:c r="Q83" s="12"/>
      <x:c r="R83" s="13" t="str">
        <x:f>IF(AND(ISNUMBER(A83),ISNUMBER(B83),C83&lt;&gt;"",G83&lt;&gt;""),O83*P83*Q83/1000000,"")</x:f>
      </x:c>
      <x:c r="S83" s="13" t="str">
        <x:f>IF(AND(ISNUMBER(A83),ISNUMBER(B83),C83&lt;&gt;"",G83&lt;&gt;""),K83*R83,"")</x:f>
      </x:c>
      <x:c r="T83" s="13" t="str">
        <x:f>IF(AND(ISNUMBER(A83),ISNUMBER(B83),C83&lt;&gt;"",G83&lt;&gt;""),K83*M83,"")</x:f>
      </x:c>
      <x:c r="U83" s="13" t="str">
        <x:f>IF(AND(ISNUMBER(A83),ISNUMBER(B83),C83&lt;&gt;"",G83&lt;&gt;""),K83*N83,"")</x:f>
      </x:c>
    </x:row>
    <x:row r="84" ht="24" customHeight="1">
      <x:c r="A84" s="10"/>
      <x:c r="B84" s="10"/>
      <x:c r="C84" s="10"/>
      <x:c r="D84" s="11"/>
      <x:c r="E84" s="10"/>
      <x:c r="F84" s="10"/>
      <x:c r="G84" s="10"/>
      <x:c r="H84" s="10"/>
      <x:c r="I84" s="10"/>
      <x:c r="J84" s="9" t="str">
        <x:f>IF(AND(ISNUMBER(A84),ISNUMBER(B84),C84&lt;&gt;"",G84&lt;&gt;""),IF(F84="MULTIPLE PACK",H84*I84,H84),"")</x:f>
      </x:c>
      <x:c r="K84" s="9" t="str">
        <x:f>IF(AND(ISNUMBER(A84),ISNUMBER(B84),C84&lt;&gt;"",G84&lt;&gt;""),IF(COUNTIFS($A$7:A84,A84,$B$7:B84,B84,$C$7:C84,C84,$D$7:D84,D84)=1,B84-A84+1,0),"")</x:f>
      </x:c>
      <x:c r="L84" s="9" t="str">
        <x:f>IF(AND(ISNUMBER(A84),ISNUMBER(B84),C84&lt;&gt;"",G84&lt;&gt;""),(B84-A84+1)*J84,"")</x:f>
      </x:c>
      <x:c r="M84" s="12"/>
      <x:c r="N84" s="12"/>
      <x:c r="O84" s="12"/>
      <x:c r="P84" s="12"/>
      <x:c r="Q84" s="12"/>
      <x:c r="R84" s="13" t="str">
        <x:f>IF(AND(ISNUMBER(A84),ISNUMBER(B84),C84&lt;&gt;"",G84&lt;&gt;""),O84*P84*Q84/1000000,"")</x:f>
      </x:c>
      <x:c r="S84" s="13" t="str">
        <x:f>IF(AND(ISNUMBER(A84),ISNUMBER(B84),C84&lt;&gt;"",G84&lt;&gt;""),K84*R84,"")</x:f>
      </x:c>
      <x:c r="T84" s="13" t="str">
        <x:f>IF(AND(ISNUMBER(A84),ISNUMBER(B84),C84&lt;&gt;"",G84&lt;&gt;""),K84*M84,"")</x:f>
      </x:c>
      <x:c r="U84" s="13" t="str">
        <x:f>IF(AND(ISNUMBER(A84),ISNUMBER(B84),C84&lt;&gt;"",G84&lt;&gt;""),K84*N84,"")</x:f>
      </x:c>
    </x:row>
    <x:row r="85" ht="24" customHeight="1">
      <x:c r="A85" s="10"/>
      <x:c r="B85" s="10"/>
      <x:c r="C85" s="10"/>
      <x:c r="D85" s="11"/>
      <x:c r="E85" s="10"/>
      <x:c r="F85" s="10"/>
      <x:c r="G85" s="10"/>
      <x:c r="H85" s="10"/>
      <x:c r="I85" s="10"/>
      <x:c r="J85" s="9" t="str">
        <x:f>IF(AND(ISNUMBER(A85),ISNUMBER(B85),C85&lt;&gt;"",G85&lt;&gt;""),IF(F85="MULTIPLE PACK",H85*I85,H85),"")</x:f>
      </x:c>
      <x:c r="K85" s="9" t="str">
        <x:f>IF(AND(ISNUMBER(A85),ISNUMBER(B85),C85&lt;&gt;"",G85&lt;&gt;""),IF(COUNTIFS($A$7:A85,A85,$B$7:B85,B85,$C$7:C85,C85,$D$7:D85,D85)=1,B85-A85+1,0),"")</x:f>
      </x:c>
      <x:c r="L85" s="9" t="str">
        <x:f>IF(AND(ISNUMBER(A85),ISNUMBER(B85),C85&lt;&gt;"",G85&lt;&gt;""),(B85-A85+1)*J85,"")</x:f>
      </x:c>
      <x:c r="M85" s="12"/>
      <x:c r="N85" s="12"/>
      <x:c r="O85" s="12"/>
      <x:c r="P85" s="12"/>
      <x:c r="Q85" s="12"/>
      <x:c r="R85" s="13" t="str">
        <x:f>IF(AND(ISNUMBER(A85),ISNUMBER(B85),C85&lt;&gt;"",G85&lt;&gt;""),O85*P85*Q85/1000000,"")</x:f>
      </x:c>
      <x:c r="S85" s="13" t="str">
        <x:f>IF(AND(ISNUMBER(A85),ISNUMBER(B85),C85&lt;&gt;"",G85&lt;&gt;""),K85*R85,"")</x:f>
      </x:c>
      <x:c r="T85" s="13" t="str">
        <x:f>IF(AND(ISNUMBER(A85),ISNUMBER(B85),C85&lt;&gt;"",G85&lt;&gt;""),K85*M85,"")</x:f>
      </x:c>
      <x:c r="U85" s="13" t="str">
        <x:f>IF(AND(ISNUMBER(A85),ISNUMBER(B85),C85&lt;&gt;"",G85&lt;&gt;""),K85*N85,"")</x:f>
      </x:c>
    </x:row>
    <x:row r="86" ht="24" customHeight="1">
      <x:c r="A86" s="10"/>
      <x:c r="B86" s="10"/>
      <x:c r="C86" s="10"/>
      <x:c r="D86" s="11"/>
      <x:c r="E86" s="10"/>
      <x:c r="F86" s="10"/>
      <x:c r="G86" s="10"/>
      <x:c r="H86" s="10"/>
      <x:c r="I86" s="10"/>
      <x:c r="J86" s="9" t="str">
        <x:f>IF(AND(ISNUMBER(A86),ISNUMBER(B86),C86&lt;&gt;"",G86&lt;&gt;""),IF(F86="MULTIPLE PACK",H86*I86,H86),"")</x:f>
      </x:c>
      <x:c r="K86" s="9" t="str">
        <x:f>IF(AND(ISNUMBER(A86),ISNUMBER(B86),C86&lt;&gt;"",G86&lt;&gt;""),IF(COUNTIFS($A$7:A86,A86,$B$7:B86,B86,$C$7:C86,C86,$D$7:D86,D86)=1,B86-A86+1,0),"")</x:f>
      </x:c>
      <x:c r="L86" s="9" t="str">
        <x:f>IF(AND(ISNUMBER(A86),ISNUMBER(B86),C86&lt;&gt;"",G86&lt;&gt;""),(B86-A86+1)*J86,"")</x:f>
      </x:c>
      <x:c r="M86" s="12"/>
      <x:c r="N86" s="12"/>
      <x:c r="O86" s="12"/>
      <x:c r="P86" s="12"/>
      <x:c r="Q86" s="12"/>
      <x:c r="R86" s="13" t="str">
        <x:f>IF(AND(ISNUMBER(A86),ISNUMBER(B86),C86&lt;&gt;"",G86&lt;&gt;""),O86*P86*Q86/1000000,"")</x:f>
      </x:c>
      <x:c r="S86" s="13" t="str">
        <x:f>IF(AND(ISNUMBER(A86),ISNUMBER(B86),C86&lt;&gt;"",G86&lt;&gt;""),K86*R86,"")</x:f>
      </x:c>
      <x:c r="T86" s="13" t="str">
        <x:f>IF(AND(ISNUMBER(A86),ISNUMBER(B86),C86&lt;&gt;"",G86&lt;&gt;""),K86*M86,"")</x:f>
      </x:c>
      <x:c r="U86" s="13" t="str">
        <x:f>IF(AND(ISNUMBER(A86),ISNUMBER(B86),C86&lt;&gt;"",G86&lt;&gt;""),K86*N86,"")</x:f>
      </x:c>
    </x:row>
    <x:row r="87" ht="24" customHeight="1">
      <x:c r="A87" s="10"/>
      <x:c r="B87" s="10"/>
      <x:c r="C87" s="10"/>
      <x:c r="D87" s="11"/>
      <x:c r="E87" s="10"/>
      <x:c r="F87" s="10"/>
      <x:c r="G87" s="10"/>
      <x:c r="H87" s="10"/>
      <x:c r="I87" s="10"/>
      <x:c r="J87" s="9" t="str">
        <x:f>IF(AND(ISNUMBER(A87),ISNUMBER(B87),C87&lt;&gt;"",G87&lt;&gt;""),IF(F87="MULTIPLE PACK",H87*I87,H87),"")</x:f>
      </x:c>
      <x:c r="K87" s="9" t="str">
        <x:f>IF(AND(ISNUMBER(A87),ISNUMBER(B87),C87&lt;&gt;"",G87&lt;&gt;""),IF(COUNTIFS($A$7:A87,A87,$B$7:B87,B87,$C$7:C87,C87,$D$7:D87,D87)=1,B87-A87+1,0),"")</x:f>
      </x:c>
      <x:c r="L87" s="9" t="str">
        <x:f>IF(AND(ISNUMBER(A87),ISNUMBER(B87),C87&lt;&gt;"",G87&lt;&gt;""),(B87-A87+1)*J87,"")</x:f>
      </x:c>
      <x:c r="M87" s="12"/>
      <x:c r="N87" s="12"/>
      <x:c r="O87" s="12"/>
      <x:c r="P87" s="12"/>
      <x:c r="Q87" s="12"/>
      <x:c r="R87" s="13" t="str">
        <x:f>IF(AND(ISNUMBER(A87),ISNUMBER(B87),C87&lt;&gt;"",G87&lt;&gt;""),O87*P87*Q87/1000000,"")</x:f>
      </x:c>
      <x:c r="S87" s="13" t="str">
        <x:f>IF(AND(ISNUMBER(A87),ISNUMBER(B87),C87&lt;&gt;"",G87&lt;&gt;""),K87*R87,"")</x:f>
      </x:c>
      <x:c r="T87" s="13" t="str">
        <x:f>IF(AND(ISNUMBER(A87),ISNUMBER(B87),C87&lt;&gt;"",G87&lt;&gt;""),K87*M87,"")</x:f>
      </x:c>
      <x:c r="U87" s="13" t="str">
        <x:f>IF(AND(ISNUMBER(A87),ISNUMBER(B87),C87&lt;&gt;"",G87&lt;&gt;""),K87*N87,"")</x:f>
      </x:c>
    </x:row>
    <x:row r="88" ht="24" customHeight="1">
      <x:c r="A88" s="10"/>
      <x:c r="B88" s="10"/>
      <x:c r="C88" s="10"/>
      <x:c r="D88" s="11"/>
      <x:c r="E88" s="10"/>
      <x:c r="F88" s="10"/>
      <x:c r="G88" s="10"/>
      <x:c r="H88" s="10"/>
      <x:c r="I88" s="10"/>
      <x:c r="J88" s="9" t="str">
        <x:f>IF(AND(ISNUMBER(A88),ISNUMBER(B88),C88&lt;&gt;"",G88&lt;&gt;""),IF(F88="MULTIPLE PACK",H88*I88,H88),"")</x:f>
      </x:c>
      <x:c r="K88" s="9" t="str">
        <x:f>IF(AND(ISNUMBER(A88),ISNUMBER(B88),C88&lt;&gt;"",G88&lt;&gt;""),IF(COUNTIFS($A$7:A88,A88,$B$7:B88,B88,$C$7:C88,C88,$D$7:D88,D88)=1,B88-A88+1,0),"")</x:f>
      </x:c>
      <x:c r="L88" s="9" t="str">
        <x:f>IF(AND(ISNUMBER(A88),ISNUMBER(B88),C88&lt;&gt;"",G88&lt;&gt;""),(B88-A88+1)*J88,"")</x:f>
      </x:c>
      <x:c r="M88" s="12"/>
      <x:c r="N88" s="12"/>
      <x:c r="O88" s="12"/>
      <x:c r="P88" s="12"/>
      <x:c r="Q88" s="12"/>
      <x:c r="R88" s="13" t="str">
        <x:f>IF(AND(ISNUMBER(A88),ISNUMBER(B88),C88&lt;&gt;"",G88&lt;&gt;""),O88*P88*Q88/1000000,"")</x:f>
      </x:c>
      <x:c r="S88" s="13" t="str">
        <x:f>IF(AND(ISNUMBER(A88),ISNUMBER(B88),C88&lt;&gt;"",G88&lt;&gt;""),K88*R88,"")</x:f>
      </x:c>
      <x:c r="T88" s="13" t="str">
        <x:f>IF(AND(ISNUMBER(A88),ISNUMBER(B88),C88&lt;&gt;"",G88&lt;&gt;""),K88*M88,"")</x:f>
      </x:c>
      <x:c r="U88" s="13" t="str">
        <x:f>IF(AND(ISNUMBER(A88),ISNUMBER(B88),C88&lt;&gt;"",G88&lt;&gt;""),K88*N88,"")</x:f>
      </x:c>
    </x:row>
    <x:row r="89" ht="24" customHeight="1">
      <x:c r="A89" s="10"/>
      <x:c r="B89" s="10"/>
      <x:c r="C89" s="10"/>
      <x:c r="D89" s="11"/>
      <x:c r="E89" s="10"/>
      <x:c r="F89" s="10"/>
      <x:c r="G89" s="10"/>
      <x:c r="H89" s="10"/>
      <x:c r="I89" s="10"/>
      <x:c r="J89" s="9" t="str">
        <x:f>IF(AND(ISNUMBER(A89),ISNUMBER(B89),C89&lt;&gt;"",G89&lt;&gt;""),IF(F89="MULTIPLE PACK",H89*I89,H89),"")</x:f>
      </x:c>
      <x:c r="K89" s="9" t="str">
        <x:f>IF(AND(ISNUMBER(A89),ISNUMBER(B89),C89&lt;&gt;"",G89&lt;&gt;""),IF(COUNTIFS($A$7:A89,A89,$B$7:B89,B89,$C$7:C89,C89,$D$7:D89,D89)=1,B89-A89+1,0),"")</x:f>
      </x:c>
      <x:c r="L89" s="9" t="str">
        <x:f>IF(AND(ISNUMBER(A89),ISNUMBER(B89),C89&lt;&gt;"",G89&lt;&gt;""),(B89-A89+1)*J89,"")</x:f>
      </x:c>
      <x:c r="M89" s="12"/>
      <x:c r="N89" s="12"/>
      <x:c r="O89" s="12"/>
      <x:c r="P89" s="12"/>
      <x:c r="Q89" s="12"/>
      <x:c r="R89" s="13" t="str">
        <x:f>IF(AND(ISNUMBER(A89),ISNUMBER(B89),C89&lt;&gt;"",G89&lt;&gt;""),O89*P89*Q89/1000000,"")</x:f>
      </x:c>
      <x:c r="S89" s="13" t="str">
        <x:f>IF(AND(ISNUMBER(A89),ISNUMBER(B89),C89&lt;&gt;"",G89&lt;&gt;""),K89*R89,"")</x:f>
      </x:c>
      <x:c r="T89" s="13" t="str">
        <x:f>IF(AND(ISNUMBER(A89),ISNUMBER(B89),C89&lt;&gt;"",G89&lt;&gt;""),K89*M89,"")</x:f>
      </x:c>
      <x:c r="U89" s="13" t="str">
        <x:f>IF(AND(ISNUMBER(A89),ISNUMBER(B89),C89&lt;&gt;"",G89&lt;&gt;""),K89*N89,"")</x:f>
      </x:c>
    </x:row>
    <x:row r="90" ht="24" customHeight="1">
      <x:c r="A90" s="10"/>
      <x:c r="B90" s="10"/>
      <x:c r="C90" s="10"/>
      <x:c r="D90" s="11"/>
      <x:c r="E90" s="10"/>
      <x:c r="F90" s="10"/>
      <x:c r="G90" s="10"/>
      <x:c r="H90" s="10"/>
      <x:c r="I90" s="10"/>
      <x:c r="J90" s="9" t="str">
        <x:f>IF(AND(ISNUMBER(A90),ISNUMBER(B90),C90&lt;&gt;"",G90&lt;&gt;""),IF(F90="MULTIPLE PACK",H90*I90,H90),"")</x:f>
      </x:c>
      <x:c r="K90" s="9" t="str">
        <x:f>IF(AND(ISNUMBER(A90),ISNUMBER(B90),C90&lt;&gt;"",G90&lt;&gt;""),IF(COUNTIFS($A$7:A90,A90,$B$7:B90,B90,$C$7:C90,C90,$D$7:D90,D90)=1,B90-A90+1,0),"")</x:f>
      </x:c>
      <x:c r="L90" s="9" t="str">
        <x:f>IF(AND(ISNUMBER(A90),ISNUMBER(B90),C90&lt;&gt;"",G90&lt;&gt;""),(B90-A90+1)*J90,"")</x:f>
      </x:c>
      <x:c r="M90" s="12"/>
      <x:c r="N90" s="12"/>
      <x:c r="O90" s="12"/>
      <x:c r="P90" s="12"/>
      <x:c r="Q90" s="12"/>
      <x:c r="R90" s="13" t="str">
        <x:f>IF(AND(ISNUMBER(A90),ISNUMBER(B90),C90&lt;&gt;"",G90&lt;&gt;""),O90*P90*Q90/1000000,"")</x:f>
      </x:c>
      <x:c r="S90" s="13" t="str">
        <x:f>IF(AND(ISNUMBER(A90),ISNUMBER(B90),C90&lt;&gt;"",G90&lt;&gt;""),K90*R90,"")</x:f>
      </x:c>
      <x:c r="T90" s="13" t="str">
        <x:f>IF(AND(ISNUMBER(A90),ISNUMBER(B90),C90&lt;&gt;"",G90&lt;&gt;""),K90*M90,"")</x:f>
      </x:c>
      <x:c r="U90" s="13" t="str">
        <x:f>IF(AND(ISNUMBER(A90),ISNUMBER(B90),C90&lt;&gt;"",G90&lt;&gt;""),K90*N90,"")</x:f>
      </x:c>
    </x:row>
    <x:row r="91" ht="24" customHeight="1">
      <x:c r="A91" s="10"/>
      <x:c r="B91" s="10"/>
      <x:c r="C91" s="10"/>
      <x:c r="D91" s="11"/>
      <x:c r="E91" s="10"/>
      <x:c r="F91" s="10"/>
      <x:c r="G91" s="10"/>
      <x:c r="H91" s="10"/>
      <x:c r="I91" s="10"/>
      <x:c r="J91" s="9" t="str">
        <x:f>IF(AND(ISNUMBER(A91),ISNUMBER(B91),C91&lt;&gt;"",G91&lt;&gt;""),IF(F91="MULTIPLE PACK",H91*I91,H91),"")</x:f>
      </x:c>
      <x:c r="K91" s="9" t="str">
        <x:f>IF(AND(ISNUMBER(A91),ISNUMBER(B91),C91&lt;&gt;"",G91&lt;&gt;""),IF(COUNTIFS($A$7:A91,A91,$B$7:B91,B91,$C$7:C91,C91,$D$7:D91,D91)=1,B91-A91+1,0),"")</x:f>
      </x:c>
      <x:c r="L91" s="9" t="str">
        <x:f>IF(AND(ISNUMBER(A91),ISNUMBER(B91),C91&lt;&gt;"",G91&lt;&gt;""),(B91-A91+1)*J91,"")</x:f>
      </x:c>
      <x:c r="M91" s="12"/>
      <x:c r="N91" s="12"/>
      <x:c r="O91" s="12"/>
      <x:c r="P91" s="12"/>
      <x:c r="Q91" s="12"/>
      <x:c r="R91" s="13" t="str">
        <x:f>IF(AND(ISNUMBER(A91),ISNUMBER(B91),C91&lt;&gt;"",G91&lt;&gt;""),O91*P91*Q91/1000000,"")</x:f>
      </x:c>
      <x:c r="S91" s="13" t="str">
        <x:f>IF(AND(ISNUMBER(A91),ISNUMBER(B91),C91&lt;&gt;"",G91&lt;&gt;""),K91*R91,"")</x:f>
      </x:c>
      <x:c r="T91" s="13" t="str">
        <x:f>IF(AND(ISNUMBER(A91),ISNUMBER(B91),C91&lt;&gt;"",G91&lt;&gt;""),K91*M91,"")</x:f>
      </x:c>
      <x:c r="U91" s="13" t="str">
        <x:f>IF(AND(ISNUMBER(A91),ISNUMBER(B91),C91&lt;&gt;"",G91&lt;&gt;""),K91*N91,"")</x:f>
      </x:c>
    </x:row>
    <x:row r="92" ht="24" customHeight="1">
      <x:c r="A92" s="10"/>
      <x:c r="B92" s="10"/>
      <x:c r="C92" s="10"/>
      <x:c r="D92" s="11"/>
      <x:c r="E92" s="10"/>
      <x:c r="F92" s="10"/>
      <x:c r="G92" s="10"/>
      <x:c r="H92" s="10"/>
      <x:c r="I92" s="10"/>
      <x:c r="J92" s="9" t="str">
        <x:f>IF(AND(ISNUMBER(A92),ISNUMBER(B92),C92&lt;&gt;"",G92&lt;&gt;""),IF(F92="MULTIPLE PACK",H92*I92,H92),"")</x:f>
      </x:c>
      <x:c r="K92" s="9" t="str">
        <x:f>IF(AND(ISNUMBER(A92),ISNUMBER(B92),C92&lt;&gt;"",G92&lt;&gt;""),IF(COUNTIFS($A$7:A92,A92,$B$7:B92,B92,$C$7:C92,C92,$D$7:D92,D92)=1,B92-A92+1,0),"")</x:f>
      </x:c>
      <x:c r="L92" s="9" t="str">
        <x:f>IF(AND(ISNUMBER(A92),ISNUMBER(B92),C92&lt;&gt;"",G92&lt;&gt;""),(B92-A92+1)*J92,"")</x:f>
      </x:c>
      <x:c r="M92" s="12"/>
      <x:c r="N92" s="12"/>
      <x:c r="O92" s="12"/>
      <x:c r="P92" s="12"/>
      <x:c r="Q92" s="12"/>
      <x:c r="R92" s="13" t="str">
        <x:f>IF(AND(ISNUMBER(A92),ISNUMBER(B92),C92&lt;&gt;"",G92&lt;&gt;""),O92*P92*Q92/1000000,"")</x:f>
      </x:c>
      <x:c r="S92" s="13" t="str">
        <x:f>IF(AND(ISNUMBER(A92),ISNUMBER(B92),C92&lt;&gt;"",G92&lt;&gt;""),K92*R92,"")</x:f>
      </x:c>
      <x:c r="T92" s="13" t="str">
        <x:f>IF(AND(ISNUMBER(A92),ISNUMBER(B92),C92&lt;&gt;"",G92&lt;&gt;""),K92*M92,"")</x:f>
      </x:c>
      <x:c r="U92" s="13" t="str">
        <x:f>IF(AND(ISNUMBER(A92),ISNUMBER(B92),C92&lt;&gt;"",G92&lt;&gt;""),K92*N92,"")</x:f>
      </x:c>
    </x:row>
    <x:row r="93" ht="24" customHeight="1">
      <x:c r="A93" s="10"/>
      <x:c r="B93" s="10"/>
      <x:c r="C93" s="10"/>
      <x:c r="D93" s="11"/>
      <x:c r="E93" s="10"/>
      <x:c r="F93" s="10"/>
      <x:c r="G93" s="10"/>
      <x:c r="H93" s="10"/>
      <x:c r="I93" s="10"/>
      <x:c r="J93" s="9" t="str">
        <x:f>IF(AND(ISNUMBER(A93),ISNUMBER(B93),C93&lt;&gt;"",G93&lt;&gt;""),IF(F93="MULTIPLE PACK",H93*I93,H93),"")</x:f>
      </x:c>
      <x:c r="K93" s="9" t="str">
        <x:f>IF(AND(ISNUMBER(A93),ISNUMBER(B93),C93&lt;&gt;"",G93&lt;&gt;""),IF(COUNTIFS($A$7:A93,A93,$B$7:B93,B93,$C$7:C93,C93,$D$7:D93,D93)=1,B93-A93+1,0),"")</x:f>
      </x:c>
      <x:c r="L93" s="9" t="str">
        <x:f>IF(AND(ISNUMBER(A93),ISNUMBER(B93),C93&lt;&gt;"",G93&lt;&gt;""),(B93-A93+1)*J93,"")</x:f>
      </x:c>
      <x:c r="M93" s="12"/>
      <x:c r="N93" s="12"/>
      <x:c r="O93" s="12"/>
      <x:c r="P93" s="12"/>
      <x:c r="Q93" s="12"/>
      <x:c r="R93" s="13" t="str">
        <x:f>IF(AND(ISNUMBER(A93),ISNUMBER(B93),C93&lt;&gt;"",G93&lt;&gt;""),O93*P93*Q93/1000000,"")</x:f>
      </x:c>
      <x:c r="S93" s="13" t="str">
        <x:f>IF(AND(ISNUMBER(A93),ISNUMBER(B93),C93&lt;&gt;"",G93&lt;&gt;""),K93*R93,"")</x:f>
      </x:c>
      <x:c r="T93" s="13" t="str">
        <x:f>IF(AND(ISNUMBER(A93),ISNUMBER(B93),C93&lt;&gt;"",G93&lt;&gt;""),K93*M93,"")</x:f>
      </x:c>
      <x:c r="U93" s="13" t="str">
        <x:f>IF(AND(ISNUMBER(A93),ISNUMBER(B93),C93&lt;&gt;"",G93&lt;&gt;""),K93*N93,"")</x:f>
      </x:c>
    </x:row>
    <x:row r="94" ht="24" customHeight="1">
      <x:c r="A94" s="10"/>
      <x:c r="B94" s="10"/>
      <x:c r="C94" s="10"/>
      <x:c r="D94" s="11"/>
      <x:c r="E94" s="10"/>
      <x:c r="F94" s="10"/>
      <x:c r="G94" s="10"/>
      <x:c r="H94" s="10"/>
      <x:c r="I94" s="10"/>
      <x:c r="J94" s="9" t="str">
        <x:f>IF(AND(ISNUMBER(A94),ISNUMBER(B94),C94&lt;&gt;"",G94&lt;&gt;""),IF(F94="MULTIPLE PACK",H94*I94,H94),"")</x:f>
      </x:c>
      <x:c r="K94" s="9" t="str">
        <x:f>IF(AND(ISNUMBER(A94),ISNUMBER(B94),C94&lt;&gt;"",G94&lt;&gt;""),IF(COUNTIFS($A$7:A94,A94,$B$7:B94,B94,$C$7:C94,C94,$D$7:D94,D94)=1,B94-A94+1,0),"")</x:f>
      </x:c>
      <x:c r="L94" s="9" t="str">
        <x:f>IF(AND(ISNUMBER(A94),ISNUMBER(B94),C94&lt;&gt;"",G94&lt;&gt;""),(B94-A94+1)*J94,"")</x:f>
      </x:c>
      <x:c r="M94" s="12"/>
      <x:c r="N94" s="12"/>
      <x:c r="O94" s="12"/>
      <x:c r="P94" s="12"/>
      <x:c r="Q94" s="12"/>
      <x:c r="R94" s="13" t="str">
        <x:f>IF(AND(ISNUMBER(A94),ISNUMBER(B94),C94&lt;&gt;"",G94&lt;&gt;""),O94*P94*Q94/1000000,"")</x:f>
      </x:c>
      <x:c r="S94" s="13" t="str">
        <x:f>IF(AND(ISNUMBER(A94),ISNUMBER(B94),C94&lt;&gt;"",G94&lt;&gt;""),K94*R94,"")</x:f>
      </x:c>
      <x:c r="T94" s="13" t="str">
        <x:f>IF(AND(ISNUMBER(A94),ISNUMBER(B94),C94&lt;&gt;"",G94&lt;&gt;""),K94*M94,"")</x:f>
      </x:c>
      <x:c r="U94" s="13" t="str">
        <x:f>IF(AND(ISNUMBER(A94),ISNUMBER(B94),C94&lt;&gt;"",G94&lt;&gt;""),K94*N94,"")</x:f>
      </x:c>
    </x:row>
    <x:row r="95" ht="24" customHeight="1">
      <x:c r="A95" s="10"/>
      <x:c r="B95" s="10"/>
      <x:c r="C95" s="10"/>
      <x:c r="D95" s="11"/>
      <x:c r="E95" s="10"/>
      <x:c r="F95" s="10"/>
      <x:c r="G95" s="10"/>
      <x:c r="H95" s="10"/>
      <x:c r="I95" s="10"/>
      <x:c r="J95" s="9" t="str">
        <x:f>IF(AND(ISNUMBER(A95),ISNUMBER(B95),C95&lt;&gt;"",G95&lt;&gt;""),IF(F95="MULTIPLE PACK",H95*I95,H95),"")</x:f>
      </x:c>
      <x:c r="K95" s="9" t="str">
        <x:f>IF(AND(ISNUMBER(A95),ISNUMBER(B95),C95&lt;&gt;"",G95&lt;&gt;""),IF(COUNTIFS($A$7:A95,A95,$B$7:B95,B95,$C$7:C95,C95,$D$7:D95,D95)=1,B95-A95+1,0),"")</x:f>
      </x:c>
      <x:c r="L95" s="9" t="str">
        <x:f>IF(AND(ISNUMBER(A95),ISNUMBER(B95),C95&lt;&gt;"",G95&lt;&gt;""),(B95-A95+1)*J95,"")</x:f>
      </x:c>
      <x:c r="M95" s="12"/>
      <x:c r="N95" s="12"/>
      <x:c r="O95" s="12"/>
      <x:c r="P95" s="12"/>
      <x:c r="Q95" s="12"/>
      <x:c r="R95" s="13" t="str">
        <x:f>IF(AND(ISNUMBER(A95),ISNUMBER(B95),C95&lt;&gt;"",G95&lt;&gt;""),O95*P95*Q95/1000000,"")</x:f>
      </x:c>
      <x:c r="S95" s="13" t="str">
        <x:f>IF(AND(ISNUMBER(A95),ISNUMBER(B95),C95&lt;&gt;"",G95&lt;&gt;""),K95*R95,"")</x:f>
      </x:c>
      <x:c r="T95" s="13" t="str">
        <x:f>IF(AND(ISNUMBER(A95),ISNUMBER(B95),C95&lt;&gt;"",G95&lt;&gt;""),K95*M95,"")</x:f>
      </x:c>
      <x:c r="U95" s="13" t="str">
        <x:f>IF(AND(ISNUMBER(A95),ISNUMBER(B95),C95&lt;&gt;"",G95&lt;&gt;""),K95*N95,"")</x:f>
      </x:c>
    </x:row>
    <x:row r="96" ht="24" customHeight="1">
      <x:c r="A96" s="10"/>
      <x:c r="B96" s="10"/>
      <x:c r="C96" s="10"/>
      <x:c r="D96" s="11"/>
      <x:c r="E96" s="10"/>
      <x:c r="F96" s="10"/>
      <x:c r="G96" s="10"/>
      <x:c r="H96" s="10"/>
      <x:c r="I96" s="10"/>
      <x:c r="J96" s="9" t="str">
        <x:f>IF(AND(ISNUMBER(A96),ISNUMBER(B96),C96&lt;&gt;"",G96&lt;&gt;""),IF(F96="MULTIPLE PACK",H96*I96,H96),"")</x:f>
      </x:c>
      <x:c r="K96" s="9" t="str">
        <x:f>IF(AND(ISNUMBER(A96),ISNUMBER(B96),C96&lt;&gt;"",G96&lt;&gt;""),IF(COUNTIFS($A$7:A96,A96,$B$7:B96,B96,$C$7:C96,C96,$D$7:D96,D96)=1,B96-A96+1,0),"")</x:f>
      </x:c>
      <x:c r="L96" s="9" t="str">
        <x:f>IF(AND(ISNUMBER(A96),ISNUMBER(B96),C96&lt;&gt;"",G96&lt;&gt;""),(B96-A96+1)*J96,"")</x:f>
      </x:c>
      <x:c r="M96" s="12"/>
      <x:c r="N96" s="12"/>
      <x:c r="O96" s="12"/>
      <x:c r="P96" s="12"/>
      <x:c r="Q96" s="12"/>
      <x:c r="R96" s="13" t="str">
        <x:f>IF(AND(ISNUMBER(A96),ISNUMBER(B96),C96&lt;&gt;"",G96&lt;&gt;""),O96*P96*Q96/1000000,"")</x:f>
      </x:c>
      <x:c r="S96" s="13" t="str">
        <x:f>IF(AND(ISNUMBER(A96),ISNUMBER(B96),C96&lt;&gt;"",G96&lt;&gt;""),K96*R96,"")</x:f>
      </x:c>
      <x:c r="T96" s="13" t="str">
        <x:f>IF(AND(ISNUMBER(A96),ISNUMBER(B96),C96&lt;&gt;"",G96&lt;&gt;""),K96*M96,"")</x:f>
      </x:c>
      <x:c r="U96" s="13" t="str">
        <x:f>IF(AND(ISNUMBER(A96),ISNUMBER(B96),C96&lt;&gt;"",G96&lt;&gt;""),K96*N96,"")</x:f>
      </x:c>
    </x:row>
    <x:row r="97" ht="24" customHeight="1">
      <x:c r="A97" s="10"/>
      <x:c r="B97" s="10"/>
      <x:c r="C97" s="10"/>
      <x:c r="D97" s="11"/>
      <x:c r="E97" s="10"/>
      <x:c r="F97" s="10"/>
      <x:c r="G97" s="10"/>
      <x:c r="H97" s="10"/>
      <x:c r="I97" s="10"/>
      <x:c r="J97" s="9" t="str">
        <x:f>IF(AND(ISNUMBER(A97),ISNUMBER(B97),C97&lt;&gt;"",G97&lt;&gt;""),IF(F97="MULTIPLE PACK",H97*I97,H97),"")</x:f>
      </x:c>
      <x:c r="K97" s="9" t="str">
        <x:f>IF(AND(ISNUMBER(A97),ISNUMBER(B97),C97&lt;&gt;"",G97&lt;&gt;""),IF(COUNTIFS($A$7:A97,A97,$B$7:B97,B97,$C$7:C97,C97,$D$7:D97,D97)=1,B97-A97+1,0),"")</x:f>
      </x:c>
      <x:c r="L97" s="9" t="str">
        <x:f>IF(AND(ISNUMBER(A97),ISNUMBER(B97),C97&lt;&gt;"",G97&lt;&gt;""),(B97-A97+1)*J97,"")</x:f>
      </x:c>
      <x:c r="M97" s="12"/>
      <x:c r="N97" s="12"/>
      <x:c r="O97" s="12"/>
      <x:c r="P97" s="12"/>
      <x:c r="Q97" s="12"/>
      <x:c r="R97" s="13" t="str">
        <x:f>IF(AND(ISNUMBER(A97),ISNUMBER(B97),C97&lt;&gt;"",G97&lt;&gt;""),O97*P97*Q97/1000000,"")</x:f>
      </x:c>
      <x:c r="S97" s="13" t="str">
        <x:f>IF(AND(ISNUMBER(A97),ISNUMBER(B97),C97&lt;&gt;"",G97&lt;&gt;""),K97*R97,"")</x:f>
      </x:c>
      <x:c r="T97" s="13" t="str">
        <x:f>IF(AND(ISNUMBER(A97),ISNUMBER(B97),C97&lt;&gt;"",G97&lt;&gt;""),K97*M97,"")</x:f>
      </x:c>
      <x:c r="U97" s="13" t="str">
        <x:f>IF(AND(ISNUMBER(A97),ISNUMBER(B97),C97&lt;&gt;"",G97&lt;&gt;""),K97*N97,"")</x:f>
      </x:c>
    </x:row>
    <x:row r="98" ht="24" customHeight="1">
      <x:c r="A98" s="10"/>
      <x:c r="B98" s="10"/>
      <x:c r="C98" s="10"/>
      <x:c r="D98" s="11"/>
      <x:c r="E98" s="10"/>
      <x:c r="F98" s="10"/>
      <x:c r="G98" s="10"/>
      <x:c r="H98" s="10"/>
      <x:c r="I98" s="10"/>
      <x:c r="J98" s="9" t="str">
        <x:f>IF(AND(ISNUMBER(A98),ISNUMBER(B98),C98&lt;&gt;"",G98&lt;&gt;""),IF(F98="MULTIPLE PACK",H98*I98,H98),"")</x:f>
      </x:c>
      <x:c r="K98" s="9" t="str">
        <x:f>IF(AND(ISNUMBER(A98),ISNUMBER(B98),C98&lt;&gt;"",G98&lt;&gt;""),IF(COUNTIFS($A$7:A98,A98,$B$7:B98,B98,$C$7:C98,C98,$D$7:D98,D98)=1,B98-A98+1,0),"")</x:f>
      </x:c>
      <x:c r="L98" s="9" t="str">
        <x:f>IF(AND(ISNUMBER(A98),ISNUMBER(B98),C98&lt;&gt;"",G98&lt;&gt;""),(B98-A98+1)*J98,"")</x:f>
      </x:c>
      <x:c r="M98" s="12"/>
      <x:c r="N98" s="12"/>
      <x:c r="O98" s="12"/>
      <x:c r="P98" s="12"/>
      <x:c r="Q98" s="12"/>
      <x:c r="R98" s="13" t="str">
        <x:f>IF(AND(ISNUMBER(A98),ISNUMBER(B98),C98&lt;&gt;"",G98&lt;&gt;""),O98*P98*Q98/1000000,"")</x:f>
      </x:c>
      <x:c r="S98" s="13" t="str">
        <x:f>IF(AND(ISNUMBER(A98),ISNUMBER(B98),C98&lt;&gt;"",G98&lt;&gt;""),K98*R98,"")</x:f>
      </x:c>
      <x:c r="T98" s="13" t="str">
        <x:f>IF(AND(ISNUMBER(A98),ISNUMBER(B98),C98&lt;&gt;"",G98&lt;&gt;""),K98*M98,"")</x:f>
      </x:c>
      <x:c r="U98" s="13" t="str">
        <x:f>IF(AND(ISNUMBER(A98),ISNUMBER(B98),C98&lt;&gt;"",G98&lt;&gt;""),K98*N98,"")</x:f>
      </x:c>
    </x:row>
    <x:row r="99" ht="24" customHeight="1">
      <x:c r="A99" s="10"/>
      <x:c r="B99" s="10"/>
      <x:c r="C99" s="10"/>
      <x:c r="D99" s="11"/>
      <x:c r="E99" s="10"/>
      <x:c r="F99" s="10"/>
      <x:c r="G99" s="10"/>
      <x:c r="H99" s="10"/>
      <x:c r="I99" s="10"/>
      <x:c r="J99" s="9" t="str">
        <x:f>IF(AND(ISNUMBER(A99),ISNUMBER(B99),C99&lt;&gt;"",G99&lt;&gt;""),IF(F99="MULTIPLE PACK",H99*I99,H99),"")</x:f>
      </x:c>
      <x:c r="K99" s="9" t="str">
        <x:f>IF(AND(ISNUMBER(A99),ISNUMBER(B99),C99&lt;&gt;"",G99&lt;&gt;""),IF(COUNTIFS($A$7:A99,A99,$B$7:B99,B99,$C$7:C99,C99,$D$7:D99,D99)=1,B99-A99+1,0),"")</x:f>
      </x:c>
      <x:c r="L99" s="9" t="str">
        <x:f>IF(AND(ISNUMBER(A99),ISNUMBER(B99),C99&lt;&gt;"",G99&lt;&gt;""),(B99-A99+1)*J99,"")</x:f>
      </x:c>
      <x:c r="M99" s="12"/>
      <x:c r="N99" s="12"/>
      <x:c r="O99" s="12"/>
      <x:c r="P99" s="12"/>
      <x:c r="Q99" s="12"/>
      <x:c r="R99" s="13" t="str">
        <x:f>IF(AND(ISNUMBER(A99),ISNUMBER(B99),C99&lt;&gt;"",G99&lt;&gt;""),O99*P99*Q99/1000000,"")</x:f>
      </x:c>
      <x:c r="S99" s="13" t="str">
        <x:f>IF(AND(ISNUMBER(A99),ISNUMBER(B99),C99&lt;&gt;"",G99&lt;&gt;""),K99*R99,"")</x:f>
      </x:c>
      <x:c r="T99" s="13" t="str">
        <x:f>IF(AND(ISNUMBER(A99),ISNUMBER(B99),C99&lt;&gt;"",G99&lt;&gt;""),K99*M99,"")</x:f>
      </x:c>
      <x:c r="U99" s="13" t="str">
        <x:f>IF(AND(ISNUMBER(A99),ISNUMBER(B99),C99&lt;&gt;"",G99&lt;&gt;""),K99*N99,"")</x:f>
      </x:c>
    </x:row>
    <x:row r="100" ht="24" customHeight="1">
      <x:c r="A100" s="10"/>
      <x:c r="B100" s="10"/>
      <x:c r="C100" s="10"/>
      <x:c r="D100" s="11"/>
      <x:c r="E100" s="10"/>
      <x:c r="F100" s="10"/>
      <x:c r="G100" s="10"/>
      <x:c r="H100" s="10"/>
      <x:c r="I100" s="10"/>
      <x:c r="J100" s="9" t="str">
        <x:f>IF(AND(ISNUMBER(A100),ISNUMBER(B100),C100&lt;&gt;"",G100&lt;&gt;""),IF(F100="MULTIPLE PACK",H100*I100,H100),"")</x:f>
      </x:c>
      <x:c r="K100" s="9" t="str">
        <x:f>IF(AND(ISNUMBER(A100),ISNUMBER(B100),C100&lt;&gt;"",G100&lt;&gt;""),IF(COUNTIFS($A$7:A100,A100,$B$7:B100,B100,$C$7:C100,C100,$D$7:D100,D100)=1,B100-A100+1,0),"")</x:f>
      </x:c>
      <x:c r="L100" s="9" t="str">
        <x:f>IF(AND(ISNUMBER(A100),ISNUMBER(B100),C100&lt;&gt;"",G100&lt;&gt;""),(B100-A100+1)*J100,"")</x:f>
      </x:c>
      <x:c r="M100" s="12"/>
      <x:c r="N100" s="12"/>
      <x:c r="O100" s="12"/>
      <x:c r="P100" s="12"/>
      <x:c r="Q100" s="12"/>
      <x:c r="R100" s="13" t="str">
        <x:f>IF(AND(ISNUMBER(A100),ISNUMBER(B100),C100&lt;&gt;"",G100&lt;&gt;""),O100*P100*Q100/1000000,"")</x:f>
      </x:c>
      <x:c r="S100" s="13" t="str">
        <x:f>IF(AND(ISNUMBER(A100),ISNUMBER(B100),C100&lt;&gt;"",G100&lt;&gt;""),K100*R100,"")</x:f>
      </x:c>
      <x:c r="T100" s="13" t="str">
        <x:f>IF(AND(ISNUMBER(A100),ISNUMBER(B100),C100&lt;&gt;"",G100&lt;&gt;""),K100*M100,"")</x:f>
      </x:c>
      <x:c r="U100" s="13" t="str">
        <x:f>IF(AND(ISNUMBER(A100),ISNUMBER(B100),C100&lt;&gt;"",G100&lt;&gt;""),K100*N100,"")</x:f>
      </x:c>
    </x:row>
    <x:row r="101" ht="24" customHeight="1">
      <x:c r="A101" s="10"/>
      <x:c r="B101" s="10"/>
      <x:c r="C101" s="10"/>
      <x:c r="D101" s="11"/>
      <x:c r="E101" s="10"/>
      <x:c r="F101" s="10"/>
      <x:c r="G101" s="10"/>
      <x:c r="H101" s="10"/>
      <x:c r="I101" s="10"/>
      <x:c r="J101" s="9" t="str">
        <x:f>IF(AND(ISNUMBER(A101),ISNUMBER(B101),C101&lt;&gt;"",G101&lt;&gt;""),IF(F101="MULTIPLE PACK",H101*I101,H101),"")</x:f>
      </x:c>
      <x:c r="K101" s="9" t="str">
        <x:f>IF(AND(ISNUMBER(A101),ISNUMBER(B101),C101&lt;&gt;"",G101&lt;&gt;""),IF(COUNTIFS($A$7:A101,A101,$B$7:B101,B101,$C$7:C101,C101,$D$7:D101,D101)=1,B101-A101+1,0),"")</x:f>
      </x:c>
      <x:c r="L101" s="9" t="str">
        <x:f>IF(AND(ISNUMBER(A101),ISNUMBER(B101),C101&lt;&gt;"",G101&lt;&gt;""),(B101-A101+1)*J101,"")</x:f>
      </x:c>
      <x:c r="M101" s="12"/>
      <x:c r="N101" s="12"/>
      <x:c r="O101" s="12"/>
      <x:c r="P101" s="12"/>
      <x:c r="Q101" s="12"/>
      <x:c r="R101" s="13" t="str">
        <x:f>IF(AND(ISNUMBER(A101),ISNUMBER(B101),C101&lt;&gt;"",G101&lt;&gt;""),O101*P101*Q101/1000000,"")</x:f>
      </x:c>
      <x:c r="S101" s="13" t="str">
        <x:f>IF(AND(ISNUMBER(A101),ISNUMBER(B101),C101&lt;&gt;"",G101&lt;&gt;""),K101*R101,"")</x:f>
      </x:c>
      <x:c r="T101" s="13" t="str">
        <x:f>IF(AND(ISNUMBER(A101),ISNUMBER(B101),C101&lt;&gt;"",G101&lt;&gt;""),K101*M101,"")</x:f>
      </x:c>
      <x:c r="U101" s="13" t="str">
        <x:f>IF(AND(ISNUMBER(A101),ISNUMBER(B101),C101&lt;&gt;"",G101&lt;&gt;""),K101*N101,"")</x:f>
      </x:c>
    </x:row>
    <x:row r="102" ht="24" customHeight="1">
      <x:c r="A102" s="10"/>
      <x:c r="B102" s="10"/>
      <x:c r="C102" s="10"/>
      <x:c r="D102" s="11"/>
      <x:c r="E102" s="10"/>
      <x:c r="F102" s="10"/>
      <x:c r="G102" s="10"/>
      <x:c r="H102" s="10"/>
      <x:c r="I102" s="10"/>
      <x:c r="J102" s="9" t="str">
        <x:f>IF(AND(ISNUMBER(A102),ISNUMBER(B102),C102&lt;&gt;"",G102&lt;&gt;""),IF(F102="MULTIPLE PACK",H102*I102,H102),"")</x:f>
      </x:c>
      <x:c r="K102" s="9" t="str">
        <x:f>IF(AND(ISNUMBER(A102),ISNUMBER(B102),C102&lt;&gt;"",G102&lt;&gt;""),IF(COUNTIFS($A$7:A102,A102,$B$7:B102,B102,$C$7:C102,C102,$D$7:D102,D102)=1,B102-A102+1,0),"")</x:f>
      </x:c>
      <x:c r="L102" s="9" t="str">
        <x:f>IF(AND(ISNUMBER(A102),ISNUMBER(B102),C102&lt;&gt;"",G102&lt;&gt;""),(B102-A102+1)*J102,"")</x:f>
      </x:c>
      <x:c r="M102" s="12"/>
      <x:c r="N102" s="12"/>
      <x:c r="O102" s="12"/>
      <x:c r="P102" s="12"/>
      <x:c r="Q102" s="12"/>
      <x:c r="R102" s="13" t="str">
        <x:f>IF(AND(ISNUMBER(A102),ISNUMBER(B102),C102&lt;&gt;"",G102&lt;&gt;""),O102*P102*Q102/1000000,"")</x:f>
      </x:c>
      <x:c r="S102" s="13" t="str">
        <x:f>IF(AND(ISNUMBER(A102),ISNUMBER(B102),C102&lt;&gt;"",G102&lt;&gt;""),K102*R102,"")</x:f>
      </x:c>
      <x:c r="T102" s="13" t="str">
        <x:f>IF(AND(ISNUMBER(A102),ISNUMBER(B102),C102&lt;&gt;"",G102&lt;&gt;""),K102*M102,"")</x:f>
      </x:c>
      <x:c r="U102" s="13" t="str">
        <x:f>IF(AND(ISNUMBER(A102),ISNUMBER(B102),C102&lt;&gt;"",G102&lt;&gt;""),K102*N102,"")</x:f>
      </x:c>
    </x:row>
    <x:row r="103" ht="24" customHeight="1">
      <x:c r="A103" s="10"/>
      <x:c r="B103" s="10"/>
      <x:c r="C103" s="10"/>
      <x:c r="D103" s="11"/>
      <x:c r="E103" s="10"/>
      <x:c r="F103" s="10"/>
      <x:c r="G103" s="10"/>
      <x:c r="H103" s="10"/>
      <x:c r="I103" s="10"/>
      <x:c r="J103" s="9" t="str">
        <x:f>IF(AND(ISNUMBER(A103),ISNUMBER(B103),C103&lt;&gt;"",G103&lt;&gt;""),IF(F103="MULTIPLE PACK",H103*I103,H103),"")</x:f>
      </x:c>
      <x:c r="K103" s="9" t="str">
        <x:f>IF(AND(ISNUMBER(A103),ISNUMBER(B103),C103&lt;&gt;"",G103&lt;&gt;""),IF(COUNTIFS($A$7:A103,A103,$B$7:B103,B103,$C$7:C103,C103,$D$7:D103,D103)=1,B103-A103+1,0),"")</x:f>
      </x:c>
      <x:c r="L103" s="9" t="str">
        <x:f>IF(AND(ISNUMBER(A103),ISNUMBER(B103),C103&lt;&gt;"",G103&lt;&gt;""),(B103-A103+1)*J103,"")</x:f>
      </x:c>
      <x:c r="M103" s="12"/>
      <x:c r="N103" s="12"/>
      <x:c r="O103" s="12"/>
      <x:c r="P103" s="12"/>
      <x:c r="Q103" s="12"/>
      <x:c r="R103" s="13" t="str">
        <x:f>IF(AND(ISNUMBER(A103),ISNUMBER(B103),C103&lt;&gt;"",G103&lt;&gt;""),O103*P103*Q103/1000000,"")</x:f>
      </x:c>
      <x:c r="S103" s="13" t="str">
        <x:f>IF(AND(ISNUMBER(A103),ISNUMBER(B103),C103&lt;&gt;"",G103&lt;&gt;""),K103*R103,"")</x:f>
      </x:c>
      <x:c r="T103" s="13" t="str">
        <x:f>IF(AND(ISNUMBER(A103),ISNUMBER(B103),C103&lt;&gt;"",G103&lt;&gt;""),K103*M103,"")</x:f>
      </x:c>
      <x:c r="U103" s="13" t="str">
        <x:f>IF(AND(ISNUMBER(A103),ISNUMBER(B103),C103&lt;&gt;"",G103&lt;&gt;""),K103*N103,"")</x:f>
      </x:c>
    </x:row>
    <x:row r="104" ht="24" customHeight="1">
      <x:c r="A104" s="10"/>
      <x:c r="B104" s="10"/>
      <x:c r="C104" s="10"/>
      <x:c r="D104" s="11"/>
      <x:c r="E104" s="10"/>
      <x:c r="F104" s="10"/>
      <x:c r="G104" s="10"/>
      <x:c r="H104" s="10"/>
      <x:c r="I104" s="10"/>
      <x:c r="J104" s="9" t="str">
        <x:f>IF(AND(ISNUMBER(A104),ISNUMBER(B104),C104&lt;&gt;"",G104&lt;&gt;""),IF(F104="MULTIPLE PACK",H104*I104,H104),"")</x:f>
      </x:c>
      <x:c r="K104" s="9" t="str">
        <x:f>IF(AND(ISNUMBER(A104),ISNUMBER(B104),C104&lt;&gt;"",G104&lt;&gt;""),IF(COUNTIFS($A$7:A104,A104,$B$7:B104,B104,$C$7:C104,C104,$D$7:D104,D104)=1,B104-A104+1,0),"")</x:f>
      </x:c>
      <x:c r="L104" s="9" t="str">
        <x:f>IF(AND(ISNUMBER(A104),ISNUMBER(B104),C104&lt;&gt;"",G104&lt;&gt;""),(B104-A104+1)*J104,"")</x:f>
      </x:c>
      <x:c r="M104" s="12"/>
      <x:c r="N104" s="12"/>
      <x:c r="O104" s="12"/>
      <x:c r="P104" s="12"/>
      <x:c r="Q104" s="12"/>
      <x:c r="R104" s="13" t="str">
        <x:f>IF(AND(ISNUMBER(A104),ISNUMBER(B104),C104&lt;&gt;"",G104&lt;&gt;""),O104*P104*Q104/1000000,"")</x:f>
      </x:c>
      <x:c r="S104" s="13" t="str">
        <x:f>IF(AND(ISNUMBER(A104),ISNUMBER(B104),C104&lt;&gt;"",G104&lt;&gt;""),K104*R104,"")</x:f>
      </x:c>
      <x:c r="T104" s="13" t="str">
        <x:f>IF(AND(ISNUMBER(A104),ISNUMBER(B104),C104&lt;&gt;"",G104&lt;&gt;""),K104*M104,"")</x:f>
      </x:c>
      <x:c r="U104" s="13" t="str">
        <x:f>IF(AND(ISNUMBER(A104),ISNUMBER(B104),C104&lt;&gt;"",G104&lt;&gt;""),K104*N104,"")</x:f>
      </x:c>
    </x:row>
    <x:row r="105" ht="24" customHeight="1">
      <x:c r="A105" s="10"/>
      <x:c r="B105" s="10"/>
      <x:c r="C105" s="10"/>
      <x:c r="D105" s="11"/>
      <x:c r="E105" s="10"/>
      <x:c r="F105" s="10"/>
      <x:c r="G105" s="10"/>
      <x:c r="H105" s="10"/>
      <x:c r="I105" s="10"/>
      <x:c r="J105" s="9" t="str">
        <x:f>IF(AND(ISNUMBER(A105),ISNUMBER(B105),C105&lt;&gt;"",G105&lt;&gt;""),IF(F105="MULTIPLE PACK",H105*I105,H105),"")</x:f>
      </x:c>
      <x:c r="K105" s="9" t="str">
        <x:f>IF(AND(ISNUMBER(A105),ISNUMBER(B105),C105&lt;&gt;"",G105&lt;&gt;""),IF(COUNTIFS($A$7:A105,A105,$B$7:B105,B105,$C$7:C105,C105,$D$7:D105,D105)=1,B105-A105+1,0),"")</x:f>
      </x:c>
      <x:c r="L105" s="9" t="str">
        <x:f>IF(AND(ISNUMBER(A105),ISNUMBER(B105),C105&lt;&gt;"",G105&lt;&gt;""),(B105-A105+1)*J105,"")</x:f>
      </x:c>
      <x:c r="M105" s="12"/>
      <x:c r="N105" s="12"/>
      <x:c r="O105" s="12"/>
      <x:c r="P105" s="12"/>
      <x:c r="Q105" s="12"/>
      <x:c r="R105" s="13" t="str">
        <x:f>IF(AND(ISNUMBER(A105),ISNUMBER(B105),C105&lt;&gt;"",G105&lt;&gt;""),O105*P105*Q105/1000000,"")</x:f>
      </x:c>
      <x:c r="S105" s="13" t="str">
        <x:f>IF(AND(ISNUMBER(A105),ISNUMBER(B105),C105&lt;&gt;"",G105&lt;&gt;""),K105*R105,"")</x:f>
      </x:c>
      <x:c r="T105" s="13" t="str">
        <x:f>IF(AND(ISNUMBER(A105),ISNUMBER(B105),C105&lt;&gt;"",G105&lt;&gt;""),K105*M105,"")</x:f>
      </x:c>
      <x:c r="U105" s="13" t="str">
        <x:f>IF(AND(ISNUMBER(A105),ISNUMBER(B105),C105&lt;&gt;"",G105&lt;&gt;""),K105*N105,"")</x:f>
      </x:c>
    </x:row>
    <x:row r="106" ht="24" customHeight="1">
      <x:c r="A106" s="10"/>
      <x:c r="B106" s="10"/>
      <x:c r="C106" s="10"/>
      <x:c r="D106" s="11"/>
      <x:c r="E106" s="10"/>
      <x:c r="F106" s="10"/>
      <x:c r="G106" s="10"/>
      <x:c r="H106" s="10"/>
      <x:c r="I106" s="10"/>
      <x:c r="J106" s="9" t="str">
        <x:f>IF(AND(ISNUMBER(A106),ISNUMBER(B106),C106&lt;&gt;"",G106&lt;&gt;""),IF(F106="MULTIPLE PACK",H106*I106,H106),"")</x:f>
      </x:c>
      <x:c r="K106" s="9" t="str">
        <x:f>IF(AND(ISNUMBER(A106),ISNUMBER(B106),C106&lt;&gt;"",G106&lt;&gt;""),IF(COUNTIFS($A$7:A106,A106,$B$7:B106,B106,$C$7:C106,C106,$D$7:D106,D106)=1,B106-A106+1,0),"")</x:f>
      </x:c>
      <x:c r="L106" s="9" t="str">
        <x:f>IF(AND(ISNUMBER(A106),ISNUMBER(B106),C106&lt;&gt;"",G106&lt;&gt;""),(B106-A106+1)*J106,"")</x:f>
      </x:c>
      <x:c r="M106" s="12"/>
      <x:c r="N106" s="12"/>
      <x:c r="O106" s="12"/>
      <x:c r="P106" s="12"/>
      <x:c r="Q106" s="12"/>
      <x:c r="R106" s="13" t="str">
        <x:f>IF(AND(ISNUMBER(A106),ISNUMBER(B106),C106&lt;&gt;"",G106&lt;&gt;""),O106*P106*Q106/1000000,"")</x:f>
      </x:c>
      <x:c r="S106" s="13" t="str">
        <x:f>IF(AND(ISNUMBER(A106),ISNUMBER(B106),C106&lt;&gt;"",G106&lt;&gt;""),K106*R106,"")</x:f>
      </x:c>
      <x:c r="T106" s="13" t="str">
        <x:f>IF(AND(ISNUMBER(A106),ISNUMBER(B106),C106&lt;&gt;"",G106&lt;&gt;""),K106*M106,"")</x:f>
      </x:c>
      <x:c r="U106" s="13" t="str">
        <x:f>IF(AND(ISNUMBER(A106),ISNUMBER(B106),C106&lt;&gt;"",G106&lt;&gt;""),K106*N106,"")</x:f>
      </x:c>
    </x:row>
    <x:row r="107" ht="24" customHeight="1">
      <x:c r="A107" s="10"/>
      <x:c r="B107" s="10"/>
      <x:c r="C107" s="10"/>
      <x:c r="D107" s="11"/>
      <x:c r="E107" s="10"/>
      <x:c r="F107" s="10"/>
      <x:c r="G107" s="10"/>
      <x:c r="H107" s="10"/>
      <x:c r="I107" s="10"/>
      <x:c r="J107" s="9" t="str">
        <x:f>IF(AND(ISNUMBER(A107),ISNUMBER(B107),C107&lt;&gt;"",G107&lt;&gt;""),IF(F107="MULTIPLE PACK",H107*I107,H107),"")</x:f>
      </x:c>
      <x:c r="K107" s="9" t="str">
        <x:f>IF(AND(ISNUMBER(A107),ISNUMBER(B107),C107&lt;&gt;"",G107&lt;&gt;""),IF(COUNTIFS($A$7:A107,A107,$B$7:B107,B107,$C$7:C107,C107,$D$7:D107,D107)=1,B107-A107+1,0),"")</x:f>
      </x:c>
      <x:c r="L107" s="9" t="str">
        <x:f>IF(AND(ISNUMBER(A107),ISNUMBER(B107),C107&lt;&gt;"",G107&lt;&gt;""),(B107-A107+1)*J107,"")</x:f>
      </x:c>
      <x:c r="M107" s="12"/>
      <x:c r="N107" s="12"/>
      <x:c r="O107" s="12"/>
      <x:c r="P107" s="12"/>
      <x:c r="Q107" s="12"/>
      <x:c r="R107" s="13" t="str">
        <x:f>IF(AND(ISNUMBER(A107),ISNUMBER(B107),C107&lt;&gt;"",G107&lt;&gt;""),O107*P107*Q107/1000000,"")</x:f>
      </x:c>
      <x:c r="S107" s="13" t="str">
        <x:f>IF(AND(ISNUMBER(A107),ISNUMBER(B107),C107&lt;&gt;"",G107&lt;&gt;""),K107*R107,"")</x:f>
      </x:c>
      <x:c r="T107" s="13" t="str">
        <x:f>IF(AND(ISNUMBER(A107),ISNUMBER(B107),C107&lt;&gt;"",G107&lt;&gt;""),K107*M107,"")</x:f>
      </x:c>
      <x:c r="U107" s="13" t="str">
        <x:f>IF(AND(ISNUMBER(A107),ISNUMBER(B107),C107&lt;&gt;"",G107&lt;&gt;""),K107*N107,"")</x:f>
      </x:c>
    </x:row>
    <x:row r="108" ht="24" customHeight="1">
      <x:c r="A108" s="10"/>
      <x:c r="B108" s="10"/>
      <x:c r="C108" s="10"/>
      <x:c r="D108" s="11"/>
      <x:c r="E108" s="10"/>
      <x:c r="F108" s="10"/>
      <x:c r="G108" s="10"/>
      <x:c r="H108" s="10"/>
      <x:c r="I108" s="10"/>
      <x:c r="J108" s="9" t="str">
        <x:f>IF(AND(ISNUMBER(A108),ISNUMBER(B108),C108&lt;&gt;"",G108&lt;&gt;""),IF(F108="MULTIPLE PACK",H108*I108,H108),"")</x:f>
      </x:c>
      <x:c r="K108" s="9" t="str">
        <x:f>IF(AND(ISNUMBER(A108),ISNUMBER(B108),C108&lt;&gt;"",G108&lt;&gt;""),IF(COUNTIFS($A$7:A108,A108,$B$7:B108,B108,$C$7:C108,C108,$D$7:D108,D108)=1,B108-A108+1,0),"")</x:f>
      </x:c>
      <x:c r="L108" s="9" t="str">
        <x:f>IF(AND(ISNUMBER(A108),ISNUMBER(B108),C108&lt;&gt;"",G108&lt;&gt;""),(B108-A108+1)*J108,"")</x:f>
      </x:c>
      <x:c r="M108" s="12"/>
      <x:c r="N108" s="12"/>
      <x:c r="O108" s="12"/>
      <x:c r="P108" s="12"/>
      <x:c r="Q108" s="12"/>
      <x:c r="R108" s="13" t="str">
        <x:f>IF(AND(ISNUMBER(A108),ISNUMBER(B108),C108&lt;&gt;"",G108&lt;&gt;""),O108*P108*Q108/1000000,"")</x:f>
      </x:c>
      <x:c r="S108" s="13" t="str">
        <x:f>IF(AND(ISNUMBER(A108),ISNUMBER(B108),C108&lt;&gt;"",G108&lt;&gt;""),K108*R108,"")</x:f>
      </x:c>
      <x:c r="T108" s="13" t="str">
        <x:f>IF(AND(ISNUMBER(A108),ISNUMBER(B108),C108&lt;&gt;"",G108&lt;&gt;""),K108*M108,"")</x:f>
      </x:c>
      <x:c r="U108" s="13" t="str">
        <x:f>IF(AND(ISNUMBER(A108),ISNUMBER(B108),C108&lt;&gt;"",G108&lt;&gt;""),K108*N108,"")</x:f>
      </x:c>
    </x:row>
    <x:row r="109" ht="24" customHeight="1">
      <x:c r="A109" s="10"/>
      <x:c r="B109" s="10"/>
      <x:c r="C109" s="10"/>
      <x:c r="D109" s="11"/>
      <x:c r="E109" s="10"/>
      <x:c r="F109" s="10"/>
      <x:c r="G109" s="10"/>
      <x:c r="H109" s="10"/>
      <x:c r="I109" s="10"/>
      <x:c r="J109" s="9" t="str">
        <x:f>IF(AND(ISNUMBER(A109),ISNUMBER(B109),C109&lt;&gt;"",G109&lt;&gt;""),IF(F109="MULTIPLE PACK",H109*I109,H109),"")</x:f>
      </x:c>
      <x:c r="K109" s="9" t="str">
        <x:f>IF(AND(ISNUMBER(A109),ISNUMBER(B109),C109&lt;&gt;"",G109&lt;&gt;""),IF(COUNTIFS($A$7:A109,A109,$B$7:B109,B109,$C$7:C109,C109,$D$7:D109,D109)=1,B109-A109+1,0),"")</x:f>
      </x:c>
      <x:c r="L109" s="9" t="str">
        <x:f>IF(AND(ISNUMBER(A109),ISNUMBER(B109),C109&lt;&gt;"",G109&lt;&gt;""),(B109-A109+1)*J109,"")</x:f>
      </x:c>
      <x:c r="M109" s="12"/>
      <x:c r="N109" s="12"/>
      <x:c r="O109" s="12"/>
      <x:c r="P109" s="12"/>
      <x:c r="Q109" s="12"/>
      <x:c r="R109" s="13" t="str">
        <x:f>IF(AND(ISNUMBER(A109),ISNUMBER(B109),C109&lt;&gt;"",G109&lt;&gt;""),O109*P109*Q109/1000000,"")</x:f>
      </x:c>
      <x:c r="S109" s="13" t="str">
        <x:f>IF(AND(ISNUMBER(A109),ISNUMBER(B109),C109&lt;&gt;"",G109&lt;&gt;""),K109*R109,"")</x:f>
      </x:c>
      <x:c r="T109" s="13" t="str">
        <x:f>IF(AND(ISNUMBER(A109),ISNUMBER(B109),C109&lt;&gt;"",G109&lt;&gt;""),K109*M109,"")</x:f>
      </x:c>
      <x:c r="U109" s="13" t="str">
        <x:f>IF(AND(ISNUMBER(A109),ISNUMBER(B109),C109&lt;&gt;"",G109&lt;&gt;""),K109*N109,"")</x:f>
      </x:c>
    </x:row>
    <x:row r="110" ht="24" customHeight="1">
      <x:c r="A110" s="10"/>
      <x:c r="B110" s="10"/>
      <x:c r="C110" s="10"/>
      <x:c r="D110" s="11"/>
      <x:c r="E110" s="10"/>
      <x:c r="F110" s="10"/>
      <x:c r="G110" s="10"/>
      <x:c r="H110" s="10"/>
      <x:c r="I110" s="10"/>
      <x:c r="J110" s="9" t="str">
        <x:f>IF(AND(ISNUMBER(A110),ISNUMBER(B110),C110&lt;&gt;"",G110&lt;&gt;""),IF(F110="MULTIPLE PACK",H110*I110,H110),"")</x:f>
      </x:c>
      <x:c r="K110" s="9" t="str">
        <x:f>IF(AND(ISNUMBER(A110),ISNUMBER(B110),C110&lt;&gt;"",G110&lt;&gt;""),IF(COUNTIFS($A$7:A110,A110,$B$7:B110,B110,$C$7:C110,C110,$D$7:D110,D110)=1,B110-A110+1,0),"")</x:f>
      </x:c>
      <x:c r="L110" s="9" t="str">
        <x:f>IF(AND(ISNUMBER(A110),ISNUMBER(B110),C110&lt;&gt;"",G110&lt;&gt;""),(B110-A110+1)*J110,"")</x:f>
      </x:c>
      <x:c r="M110" s="12"/>
      <x:c r="N110" s="12"/>
      <x:c r="O110" s="12"/>
      <x:c r="P110" s="12"/>
      <x:c r="Q110" s="12"/>
      <x:c r="R110" s="13" t="str">
        <x:f>IF(AND(ISNUMBER(A110),ISNUMBER(B110),C110&lt;&gt;"",G110&lt;&gt;""),O110*P110*Q110/1000000,"")</x:f>
      </x:c>
      <x:c r="S110" s="13" t="str">
        <x:f>IF(AND(ISNUMBER(A110),ISNUMBER(B110),C110&lt;&gt;"",G110&lt;&gt;""),K110*R110,"")</x:f>
      </x:c>
      <x:c r="T110" s="13" t="str">
        <x:f>IF(AND(ISNUMBER(A110),ISNUMBER(B110),C110&lt;&gt;"",G110&lt;&gt;""),K110*M110,"")</x:f>
      </x:c>
      <x:c r="U110" s="13" t="str">
        <x:f>IF(AND(ISNUMBER(A110),ISNUMBER(B110),C110&lt;&gt;"",G110&lt;&gt;""),K110*N110,"")</x:f>
      </x:c>
    </x:row>
    <x:row r="111" ht="24" customHeight="1">
      <x:c r="A111" s="10"/>
      <x:c r="B111" s="10"/>
      <x:c r="C111" s="10"/>
      <x:c r="D111" s="11"/>
      <x:c r="E111" s="10"/>
      <x:c r="F111" s="10"/>
      <x:c r="G111" s="10"/>
      <x:c r="H111" s="10"/>
      <x:c r="I111" s="10"/>
      <x:c r="J111" s="9" t="str">
        <x:f>IF(AND(ISNUMBER(A111),ISNUMBER(B111),C111&lt;&gt;"",G111&lt;&gt;""),IF(F111="MULTIPLE PACK",H111*I111,H111),"")</x:f>
      </x:c>
      <x:c r="K111" s="9" t="str">
        <x:f>IF(AND(ISNUMBER(A111),ISNUMBER(B111),C111&lt;&gt;"",G111&lt;&gt;""),IF(COUNTIFS($A$7:A111,A111,$B$7:B111,B111,$C$7:C111,C111,$D$7:D111,D111)=1,B111-A111+1,0),"")</x:f>
      </x:c>
      <x:c r="L111" s="9" t="str">
        <x:f>IF(AND(ISNUMBER(A111),ISNUMBER(B111),C111&lt;&gt;"",G111&lt;&gt;""),(B111-A111+1)*J111,"")</x:f>
      </x:c>
      <x:c r="M111" s="12"/>
      <x:c r="N111" s="12"/>
      <x:c r="O111" s="12"/>
      <x:c r="P111" s="12"/>
      <x:c r="Q111" s="12"/>
      <x:c r="R111" s="13" t="str">
        <x:f>IF(AND(ISNUMBER(A111),ISNUMBER(B111),C111&lt;&gt;"",G111&lt;&gt;""),O111*P111*Q111/1000000,"")</x:f>
      </x:c>
      <x:c r="S111" s="13" t="str">
        <x:f>IF(AND(ISNUMBER(A111),ISNUMBER(B111),C111&lt;&gt;"",G111&lt;&gt;""),K111*R111,"")</x:f>
      </x:c>
      <x:c r="T111" s="13" t="str">
        <x:f>IF(AND(ISNUMBER(A111),ISNUMBER(B111),C111&lt;&gt;"",G111&lt;&gt;""),K111*M111,"")</x:f>
      </x:c>
      <x:c r="U111" s="13" t="str">
        <x:f>IF(AND(ISNUMBER(A111),ISNUMBER(B111),C111&lt;&gt;"",G111&lt;&gt;""),K111*N111,"")</x:f>
      </x:c>
    </x:row>
    <x:row r="112" ht="24" customHeight="1">
      <x:c r="A112" s="10"/>
      <x:c r="B112" s="10"/>
      <x:c r="C112" s="10"/>
      <x:c r="D112" s="11"/>
      <x:c r="E112" s="10"/>
      <x:c r="F112" s="10"/>
      <x:c r="G112" s="10"/>
      <x:c r="H112" s="10"/>
      <x:c r="I112" s="10"/>
      <x:c r="J112" s="9" t="str">
        <x:f>IF(AND(ISNUMBER(A112),ISNUMBER(B112),C112&lt;&gt;"",G112&lt;&gt;""),IF(F112="MULTIPLE PACK",H112*I112,H112),"")</x:f>
      </x:c>
      <x:c r="K112" s="9" t="str">
        <x:f>IF(AND(ISNUMBER(A112),ISNUMBER(B112),C112&lt;&gt;"",G112&lt;&gt;""),IF(COUNTIFS($A$7:A112,A112,$B$7:B112,B112,$C$7:C112,C112,$D$7:D112,D112)=1,B112-A112+1,0),"")</x:f>
      </x:c>
      <x:c r="L112" s="9" t="str">
        <x:f>IF(AND(ISNUMBER(A112),ISNUMBER(B112),C112&lt;&gt;"",G112&lt;&gt;""),(B112-A112+1)*J112,"")</x:f>
      </x:c>
      <x:c r="M112" s="12"/>
      <x:c r="N112" s="12"/>
      <x:c r="O112" s="12"/>
      <x:c r="P112" s="12"/>
      <x:c r="Q112" s="12"/>
      <x:c r="R112" s="13" t="str">
        <x:f>IF(AND(ISNUMBER(A112),ISNUMBER(B112),C112&lt;&gt;"",G112&lt;&gt;""),O112*P112*Q112/1000000,"")</x:f>
      </x:c>
      <x:c r="S112" s="13" t="str">
        <x:f>IF(AND(ISNUMBER(A112),ISNUMBER(B112),C112&lt;&gt;"",G112&lt;&gt;""),K112*R112,"")</x:f>
      </x:c>
      <x:c r="T112" s="13" t="str">
        <x:f>IF(AND(ISNUMBER(A112),ISNUMBER(B112),C112&lt;&gt;"",G112&lt;&gt;""),K112*M112,"")</x:f>
      </x:c>
      <x:c r="U112" s="13" t="str">
        <x:f>IF(AND(ISNUMBER(A112),ISNUMBER(B112),C112&lt;&gt;"",G112&lt;&gt;""),K112*N112,"")</x:f>
      </x:c>
    </x:row>
    <x:row r="113" ht="24" customHeight="1">
      <x:c r="A113" s="10"/>
      <x:c r="B113" s="10"/>
      <x:c r="C113" s="10"/>
      <x:c r="D113" s="11"/>
      <x:c r="E113" s="10"/>
      <x:c r="F113" s="10"/>
      <x:c r="G113" s="10"/>
      <x:c r="H113" s="10"/>
      <x:c r="I113" s="10"/>
      <x:c r="J113" s="9" t="str">
        <x:f>IF(AND(ISNUMBER(A113),ISNUMBER(B113),C113&lt;&gt;"",G113&lt;&gt;""),IF(F113="MULTIPLE PACK",H113*I113,H113),"")</x:f>
      </x:c>
      <x:c r="K113" s="9" t="str">
        <x:f>IF(AND(ISNUMBER(A113),ISNUMBER(B113),C113&lt;&gt;"",G113&lt;&gt;""),IF(COUNTIFS($A$7:A113,A113,$B$7:B113,B113,$C$7:C113,C113,$D$7:D113,D113)=1,B113-A113+1,0),"")</x:f>
      </x:c>
      <x:c r="L113" s="9" t="str">
        <x:f>IF(AND(ISNUMBER(A113),ISNUMBER(B113),C113&lt;&gt;"",G113&lt;&gt;""),(B113-A113+1)*J113,"")</x:f>
      </x:c>
      <x:c r="M113" s="12"/>
      <x:c r="N113" s="12"/>
      <x:c r="O113" s="12"/>
      <x:c r="P113" s="12"/>
      <x:c r="Q113" s="12"/>
      <x:c r="R113" s="13" t="str">
        <x:f>IF(AND(ISNUMBER(A113),ISNUMBER(B113),C113&lt;&gt;"",G113&lt;&gt;""),O113*P113*Q113/1000000,"")</x:f>
      </x:c>
      <x:c r="S113" s="13" t="str">
        <x:f>IF(AND(ISNUMBER(A113),ISNUMBER(B113),C113&lt;&gt;"",G113&lt;&gt;""),K113*R113,"")</x:f>
      </x:c>
      <x:c r="T113" s="13" t="str">
        <x:f>IF(AND(ISNUMBER(A113),ISNUMBER(B113),C113&lt;&gt;"",G113&lt;&gt;""),K113*M113,"")</x:f>
      </x:c>
      <x:c r="U113" s="13" t="str">
        <x:f>IF(AND(ISNUMBER(A113),ISNUMBER(B113),C113&lt;&gt;"",G113&lt;&gt;""),K113*N113,"")</x:f>
      </x:c>
    </x:row>
    <x:row r="114" ht="24" customHeight="1">
      <x:c r="A114" s="10"/>
      <x:c r="B114" s="10"/>
      <x:c r="C114" s="10"/>
      <x:c r="D114" s="11"/>
      <x:c r="E114" s="10"/>
      <x:c r="F114" s="10"/>
      <x:c r="G114" s="10"/>
      <x:c r="H114" s="10"/>
      <x:c r="I114" s="10"/>
      <x:c r="J114" s="9" t="str">
        <x:f>IF(AND(ISNUMBER(A114),ISNUMBER(B114),C114&lt;&gt;"",G114&lt;&gt;""),IF(F114="MULTIPLE PACK",H114*I114,H114),"")</x:f>
      </x:c>
      <x:c r="K114" s="9" t="str">
        <x:f>IF(AND(ISNUMBER(A114),ISNUMBER(B114),C114&lt;&gt;"",G114&lt;&gt;""),IF(COUNTIFS($A$7:A114,A114,$B$7:B114,B114,$C$7:C114,C114,$D$7:D114,D114)=1,B114-A114+1,0),"")</x:f>
      </x:c>
      <x:c r="L114" s="9" t="str">
        <x:f>IF(AND(ISNUMBER(A114),ISNUMBER(B114),C114&lt;&gt;"",G114&lt;&gt;""),(B114-A114+1)*J114,"")</x:f>
      </x:c>
      <x:c r="M114" s="12"/>
      <x:c r="N114" s="12"/>
      <x:c r="O114" s="12"/>
      <x:c r="P114" s="12"/>
      <x:c r="Q114" s="12"/>
      <x:c r="R114" s="13" t="str">
        <x:f>IF(AND(ISNUMBER(A114),ISNUMBER(B114),C114&lt;&gt;"",G114&lt;&gt;""),O114*P114*Q114/1000000,"")</x:f>
      </x:c>
      <x:c r="S114" s="13" t="str">
        <x:f>IF(AND(ISNUMBER(A114),ISNUMBER(B114),C114&lt;&gt;"",G114&lt;&gt;""),K114*R114,"")</x:f>
      </x:c>
      <x:c r="T114" s="13" t="str">
        <x:f>IF(AND(ISNUMBER(A114),ISNUMBER(B114),C114&lt;&gt;"",G114&lt;&gt;""),K114*M114,"")</x:f>
      </x:c>
      <x:c r="U114" s="13" t="str">
        <x:f>IF(AND(ISNUMBER(A114),ISNUMBER(B114),C114&lt;&gt;"",G114&lt;&gt;""),K114*N114,"")</x:f>
      </x:c>
    </x:row>
    <x:row r="115" ht="24" customHeight="1">
      <x:c r="A115" s="10"/>
      <x:c r="B115" s="10"/>
      <x:c r="C115" s="10"/>
      <x:c r="D115" s="11"/>
      <x:c r="E115" s="10"/>
      <x:c r="F115" s="10"/>
      <x:c r="G115" s="10"/>
      <x:c r="H115" s="10"/>
      <x:c r="I115" s="10"/>
      <x:c r="J115" s="9" t="str">
        <x:f>IF(AND(ISNUMBER(A115),ISNUMBER(B115),C115&lt;&gt;"",G115&lt;&gt;""),IF(F115="MULTIPLE PACK",H115*I115,H115),"")</x:f>
      </x:c>
      <x:c r="K115" s="9" t="str">
        <x:f>IF(AND(ISNUMBER(A115),ISNUMBER(B115),C115&lt;&gt;"",G115&lt;&gt;""),IF(COUNTIFS($A$7:A115,A115,$B$7:B115,B115,$C$7:C115,C115,$D$7:D115,D115)=1,B115-A115+1,0),"")</x:f>
      </x:c>
      <x:c r="L115" s="9" t="str">
        <x:f>IF(AND(ISNUMBER(A115),ISNUMBER(B115),C115&lt;&gt;"",G115&lt;&gt;""),(B115-A115+1)*J115,"")</x:f>
      </x:c>
      <x:c r="M115" s="12"/>
      <x:c r="N115" s="12"/>
      <x:c r="O115" s="12"/>
      <x:c r="P115" s="12"/>
      <x:c r="Q115" s="12"/>
      <x:c r="R115" s="13" t="str">
        <x:f>IF(AND(ISNUMBER(A115),ISNUMBER(B115),C115&lt;&gt;"",G115&lt;&gt;""),O115*P115*Q115/1000000,"")</x:f>
      </x:c>
      <x:c r="S115" s="13" t="str">
        <x:f>IF(AND(ISNUMBER(A115),ISNUMBER(B115),C115&lt;&gt;"",G115&lt;&gt;""),K115*R115,"")</x:f>
      </x:c>
      <x:c r="T115" s="13" t="str">
        <x:f>IF(AND(ISNUMBER(A115),ISNUMBER(B115),C115&lt;&gt;"",G115&lt;&gt;""),K115*M115,"")</x:f>
      </x:c>
      <x:c r="U115" s="13" t="str">
        <x:f>IF(AND(ISNUMBER(A115),ISNUMBER(B115),C115&lt;&gt;"",G115&lt;&gt;""),K115*N115,"")</x:f>
      </x:c>
    </x:row>
    <x:row r="116" ht="24" customHeight="1">
      <x:c r="A116" s="10"/>
      <x:c r="B116" s="10"/>
      <x:c r="C116" s="10"/>
      <x:c r="D116" s="11"/>
      <x:c r="E116" s="10"/>
      <x:c r="F116" s="10"/>
      <x:c r="G116" s="10"/>
      <x:c r="H116" s="10"/>
      <x:c r="I116" s="10"/>
      <x:c r="J116" s="9" t="str">
        <x:f>IF(AND(ISNUMBER(A116),ISNUMBER(B116),C116&lt;&gt;"",G116&lt;&gt;""),IF(F116="MULTIPLE PACK",H116*I116,H116),"")</x:f>
      </x:c>
      <x:c r="K116" s="9" t="str">
        <x:f>IF(AND(ISNUMBER(A116),ISNUMBER(B116),C116&lt;&gt;"",G116&lt;&gt;""),IF(COUNTIFS($A$7:A116,A116,$B$7:B116,B116,$C$7:C116,C116,$D$7:D116,D116)=1,B116-A116+1,0),"")</x:f>
      </x:c>
      <x:c r="L116" s="9" t="str">
        <x:f>IF(AND(ISNUMBER(A116),ISNUMBER(B116),C116&lt;&gt;"",G116&lt;&gt;""),(B116-A116+1)*J116,"")</x:f>
      </x:c>
      <x:c r="M116" s="12"/>
      <x:c r="N116" s="12"/>
      <x:c r="O116" s="12"/>
      <x:c r="P116" s="12"/>
      <x:c r="Q116" s="12"/>
      <x:c r="R116" s="13" t="str">
        <x:f>IF(AND(ISNUMBER(A116),ISNUMBER(B116),C116&lt;&gt;"",G116&lt;&gt;""),O116*P116*Q116/1000000,"")</x:f>
      </x:c>
      <x:c r="S116" s="13" t="str">
        <x:f>IF(AND(ISNUMBER(A116),ISNUMBER(B116),C116&lt;&gt;"",G116&lt;&gt;""),K116*R116,"")</x:f>
      </x:c>
      <x:c r="T116" s="13" t="str">
        <x:f>IF(AND(ISNUMBER(A116),ISNUMBER(B116),C116&lt;&gt;"",G116&lt;&gt;""),K116*M116,"")</x:f>
      </x:c>
      <x:c r="U116" s="13" t="str">
        <x:f>IF(AND(ISNUMBER(A116),ISNUMBER(B116),C116&lt;&gt;"",G116&lt;&gt;""),K116*N116,"")</x:f>
      </x:c>
    </x:row>
    <x:row r="117" ht="24" customHeight="1">
      <x:c r="A117" s="10"/>
      <x:c r="B117" s="10"/>
      <x:c r="C117" s="10"/>
      <x:c r="D117" s="11"/>
      <x:c r="E117" s="10"/>
      <x:c r="F117" s="10"/>
      <x:c r="G117" s="10"/>
      <x:c r="H117" s="10"/>
      <x:c r="I117" s="10"/>
      <x:c r="J117" s="9" t="str">
        <x:f>IF(AND(ISNUMBER(A117),ISNUMBER(B117),C117&lt;&gt;"",G117&lt;&gt;""),IF(F117="MULTIPLE PACK",H117*I117,H117),"")</x:f>
      </x:c>
      <x:c r="K117" s="9" t="str">
        <x:f>IF(AND(ISNUMBER(A117),ISNUMBER(B117),C117&lt;&gt;"",G117&lt;&gt;""),IF(COUNTIFS($A$7:A117,A117,$B$7:B117,B117,$C$7:C117,C117,$D$7:D117,D117)=1,B117-A117+1,0),"")</x:f>
      </x:c>
      <x:c r="L117" s="9" t="str">
        <x:f>IF(AND(ISNUMBER(A117),ISNUMBER(B117),C117&lt;&gt;"",G117&lt;&gt;""),(B117-A117+1)*J117,"")</x:f>
      </x:c>
      <x:c r="M117" s="12"/>
      <x:c r="N117" s="12"/>
      <x:c r="O117" s="12"/>
      <x:c r="P117" s="12"/>
      <x:c r="Q117" s="12"/>
      <x:c r="R117" s="13" t="str">
        <x:f>IF(AND(ISNUMBER(A117),ISNUMBER(B117),C117&lt;&gt;"",G117&lt;&gt;""),O117*P117*Q117/1000000,"")</x:f>
      </x:c>
      <x:c r="S117" s="13" t="str">
        <x:f>IF(AND(ISNUMBER(A117),ISNUMBER(B117),C117&lt;&gt;"",G117&lt;&gt;""),K117*R117,"")</x:f>
      </x:c>
      <x:c r="T117" s="13" t="str">
        <x:f>IF(AND(ISNUMBER(A117),ISNUMBER(B117),C117&lt;&gt;"",G117&lt;&gt;""),K117*M117,"")</x:f>
      </x:c>
      <x:c r="U117" s="13" t="str">
        <x:f>IF(AND(ISNUMBER(A117),ISNUMBER(B117),C117&lt;&gt;"",G117&lt;&gt;""),K117*N117,"")</x:f>
      </x:c>
    </x:row>
    <x:row r="118" ht="24" customHeight="1">
      <x:c r="A118" s="10"/>
      <x:c r="B118" s="10"/>
      <x:c r="C118" s="10"/>
      <x:c r="D118" s="11"/>
      <x:c r="E118" s="10"/>
      <x:c r="F118" s="10"/>
      <x:c r="G118" s="10"/>
      <x:c r="H118" s="10"/>
      <x:c r="I118" s="10"/>
      <x:c r="J118" s="9" t="str">
        <x:f>IF(AND(ISNUMBER(A118),ISNUMBER(B118),C118&lt;&gt;"",G118&lt;&gt;""),IF(F118="MULTIPLE PACK",H118*I118,H118),"")</x:f>
      </x:c>
      <x:c r="K118" s="9" t="str">
        <x:f>IF(AND(ISNUMBER(A118),ISNUMBER(B118),C118&lt;&gt;"",G118&lt;&gt;""),IF(COUNTIFS($A$7:A118,A118,$B$7:B118,B118,$C$7:C118,C118,$D$7:D118,D118)=1,B118-A118+1,0),"")</x:f>
      </x:c>
      <x:c r="L118" s="9" t="str">
        <x:f>IF(AND(ISNUMBER(A118),ISNUMBER(B118),C118&lt;&gt;"",G118&lt;&gt;""),(B118-A118+1)*J118,"")</x:f>
      </x:c>
      <x:c r="M118" s="12"/>
      <x:c r="N118" s="12"/>
      <x:c r="O118" s="12"/>
      <x:c r="P118" s="12"/>
      <x:c r="Q118" s="12"/>
      <x:c r="R118" s="13" t="str">
        <x:f>IF(AND(ISNUMBER(A118),ISNUMBER(B118),C118&lt;&gt;"",G118&lt;&gt;""),O118*P118*Q118/1000000,"")</x:f>
      </x:c>
      <x:c r="S118" s="13" t="str">
        <x:f>IF(AND(ISNUMBER(A118),ISNUMBER(B118),C118&lt;&gt;"",G118&lt;&gt;""),K118*R118,"")</x:f>
      </x:c>
      <x:c r="T118" s="13" t="str">
        <x:f>IF(AND(ISNUMBER(A118),ISNUMBER(B118),C118&lt;&gt;"",G118&lt;&gt;""),K118*M118,"")</x:f>
      </x:c>
      <x:c r="U118" s="13" t="str">
        <x:f>IF(AND(ISNUMBER(A118),ISNUMBER(B118),C118&lt;&gt;"",G118&lt;&gt;""),K118*N118,"")</x:f>
      </x:c>
    </x:row>
    <x:row r="119" ht="24" customHeight="1">
      <x:c r="A119" s="10"/>
      <x:c r="B119" s="10"/>
      <x:c r="C119" s="10"/>
      <x:c r="D119" s="11"/>
      <x:c r="E119" s="10"/>
      <x:c r="F119" s="10"/>
      <x:c r="G119" s="10"/>
      <x:c r="H119" s="10"/>
      <x:c r="I119" s="10"/>
      <x:c r="J119" s="9" t="str">
        <x:f>IF(AND(ISNUMBER(A119),ISNUMBER(B119),C119&lt;&gt;"",G119&lt;&gt;""),IF(F119="MULTIPLE PACK",H119*I119,H119),"")</x:f>
      </x:c>
      <x:c r="K119" s="9" t="str">
        <x:f>IF(AND(ISNUMBER(A119),ISNUMBER(B119),C119&lt;&gt;"",G119&lt;&gt;""),IF(COUNTIFS($A$7:A119,A119,$B$7:B119,B119,$C$7:C119,C119,$D$7:D119,D119)=1,B119-A119+1,0),"")</x:f>
      </x:c>
      <x:c r="L119" s="9" t="str">
        <x:f>IF(AND(ISNUMBER(A119),ISNUMBER(B119),C119&lt;&gt;"",G119&lt;&gt;""),(B119-A119+1)*J119,"")</x:f>
      </x:c>
      <x:c r="M119" s="12"/>
      <x:c r="N119" s="12"/>
      <x:c r="O119" s="12"/>
      <x:c r="P119" s="12"/>
      <x:c r="Q119" s="12"/>
      <x:c r="R119" s="13" t="str">
        <x:f>IF(AND(ISNUMBER(A119),ISNUMBER(B119),C119&lt;&gt;"",G119&lt;&gt;""),O119*P119*Q119/1000000,"")</x:f>
      </x:c>
      <x:c r="S119" s="13" t="str">
        <x:f>IF(AND(ISNUMBER(A119),ISNUMBER(B119),C119&lt;&gt;"",G119&lt;&gt;""),K119*R119,"")</x:f>
      </x:c>
      <x:c r="T119" s="13" t="str">
        <x:f>IF(AND(ISNUMBER(A119),ISNUMBER(B119),C119&lt;&gt;"",G119&lt;&gt;""),K119*M119,"")</x:f>
      </x:c>
      <x:c r="U119" s="13" t="str">
        <x:f>IF(AND(ISNUMBER(A119),ISNUMBER(B119),C119&lt;&gt;"",G119&lt;&gt;""),K119*N119,"")</x:f>
      </x:c>
    </x:row>
    <x:row r="120" ht="24" customHeight="1">
      <x:c r="A120" s="10"/>
      <x:c r="B120" s="10"/>
      <x:c r="C120" s="10"/>
      <x:c r="D120" s="11"/>
      <x:c r="E120" s="10"/>
      <x:c r="F120" s="10"/>
      <x:c r="G120" s="10"/>
      <x:c r="H120" s="10"/>
      <x:c r="I120" s="10"/>
      <x:c r="J120" s="9" t="str">
        <x:f>IF(AND(ISNUMBER(A120),ISNUMBER(B120),C120&lt;&gt;"",G120&lt;&gt;""),IF(F120="MULTIPLE PACK",H120*I120,H120),"")</x:f>
      </x:c>
      <x:c r="K120" s="9" t="str">
        <x:f>IF(AND(ISNUMBER(A120),ISNUMBER(B120),C120&lt;&gt;"",G120&lt;&gt;""),IF(COUNTIFS($A$7:A120,A120,$B$7:B120,B120,$C$7:C120,C120,$D$7:D120,D120)=1,B120-A120+1,0),"")</x:f>
      </x:c>
      <x:c r="L120" s="9" t="str">
        <x:f>IF(AND(ISNUMBER(A120),ISNUMBER(B120),C120&lt;&gt;"",G120&lt;&gt;""),(B120-A120+1)*J120,"")</x:f>
      </x:c>
      <x:c r="M120" s="12"/>
      <x:c r="N120" s="12"/>
      <x:c r="O120" s="12"/>
      <x:c r="P120" s="12"/>
      <x:c r="Q120" s="12"/>
      <x:c r="R120" s="13" t="str">
        <x:f>IF(AND(ISNUMBER(A120),ISNUMBER(B120),C120&lt;&gt;"",G120&lt;&gt;""),O120*P120*Q120/1000000,"")</x:f>
      </x:c>
      <x:c r="S120" s="13" t="str">
        <x:f>IF(AND(ISNUMBER(A120),ISNUMBER(B120),C120&lt;&gt;"",G120&lt;&gt;""),K120*R120,"")</x:f>
      </x:c>
      <x:c r="T120" s="13" t="str">
        <x:f>IF(AND(ISNUMBER(A120),ISNUMBER(B120),C120&lt;&gt;"",G120&lt;&gt;""),K120*M120,"")</x:f>
      </x:c>
      <x:c r="U120" s="13" t="str">
        <x:f>IF(AND(ISNUMBER(A120),ISNUMBER(B120),C120&lt;&gt;"",G120&lt;&gt;""),K120*N120,"")</x:f>
      </x:c>
    </x:row>
    <x:row r="121" ht="24" customHeight="1">
      <x:c r="A121" s="10"/>
      <x:c r="B121" s="10"/>
      <x:c r="C121" s="10"/>
      <x:c r="D121" s="11"/>
      <x:c r="E121" s="10"/>
      <x:c r="F121" s="10"/>
      <x:c r="G121" s="10"/>
      <x:c r="H121" s="10"/>
      <x:c r="I121" s="10"/>
      <x:c r="J121" s="9" t="str">
        <x:f>IF(AND(ISNUMBER(A121),ISNUMBER(B121),C121&lt;&gt;"",G121&lt;&gt;""),IF(F121="MULTIPLE PACK",H121*I121,H121),"")</x:f>
      </x:c>
      <x:c r="K121" s="9" t="str">
        <x:f>IF(AND(ISNUMBER(A121),ISNUMBER(B121),C121&lt;&gt;"",G121&lt;&gt;""),IF(COUNTIFS($A$7:A121,A121,$B$7:B121,B121,$C$7:C121,C121,$D$7:D121,D121)=1,B121-A121+1,0),"")</x:f>
      </x:c>
      <x:c r="L121" s="9" t="str">
        <x:f>IF(AND(ISNUMBER(A121),ISNUMBER(B121),C121&lt;&gt;"",G121&lt;&gt;""),(B121-A121+1)*J121,"")</x:f>
      </x:c>
      <x:c r="M121" s="12"/>
      <x:c r="N121" s="12"/>
      <x:c r="O121" s="12"/>
      <x:c r="P121" s="12"/>
      <x:c r="Q121" s="12"/>
      <x:c r="R121" s="13" t="str">
        <x:f>IF(AND(ISNUMBER(A121),ISNUMBER(B121),C121&lt;&gt;"",G121&lt;&gt;""),O121*P121*Q121/1000000,"")</x:f>
      </x:c>
      <x:c r="S121" s="13" t="str">
        <x:f>IF(AND(ISNUMBER(A121),ISNUMBER(B121),C121&lt;&gt;"",G121&lt;&gt;""),K121*R121,"")</x:f>
      </x:c>
      <x:c r="T121" s="13" t="str">
        <x:f>IF(AND(ISNUMBER(A121),ISNUMBER(B121),C121&lt;&gt;"",G121&lt;&gt;""),K121*M121,"")</x:f>
      </x:c>
      <x:c r="U121" s="13" t="str">
        <x:f>IF(AND(ISNUMBER(A121),ISNUMBER(B121),C121&lt;&gt;"",G121&lt;&gt;""),K121*N121,"")</x:f>
      </x:c>
    </x:row>
    <x:row r="122" ht="24" customHeight="1">
      <x:c r="A122" s="10"/>
      <x:c r="B122" s="10"/>
      <x:c r="C122" s="10"/>
      <x:c r="D122" s="11"/>
      <x:c r="E122" s="10"/>
      <x:c r="F122" s="10"/>
      <x:c r="G122" s="10"/>
      <x:c r="H122" s="10"/>
      <x:c r="I122" s="10"/>
      <x:c r="J122" s="9" t="str">
        <x:f>IF(AND(ISNUMBER(A122),ISNUMBER(B122),C122&lt;&gt;"",G122&lt;&gt;""),IF(F122="MULTIPLE PACK",H122*I122,H122),"")</x:f>
      </x:c>
      <x:c r="K122" s="9" t="str">
        <x:f>IF(AND(ISNUMBER(A122),ISNUMBER(B122),C122&lt;&gt;"",G122&lt;&gt;""),IF(COUNTIFS($A$7:A122,A122,$B$7:B122,B122,$C$7:C122,C122,$D$7:D122,D122)=1,B122-A122+1,0),"")</x:f>
      </x:c>
      <x:c r="L122" s="9" t="str">
        <x:f>IF(AND(ISNUMBER(A122),ISNUMBER(B122),C122&lt;&gt;"",G122&lt;&gt;""),(B122-A122+1)*J122,"")</x:f>
      </x:c>
      <x:c r="M122" s="12"/>
      <x:c r="N122" s="12"/>
      <x:c r="O122" s="12"/>
      <x:c r="P122" s="12"/>
      <x:c r="Q122" s="12"/>
      <x:c r="R122" s="13" t="str">
        <x:f>IF(AND(ISNUMBER(A122),ISNUMBER(B122),C122&lt;&gt;"",G122&lt;&gt;""),O122*P122*Q122/1000000,"")</x:f>
      </x:c>
      <x:c r="S122" s="13" t="str">
        <x:f>IF(AND(ISNUMBER(A122),ISNUMBER(B122),C122&lt;&gt;"",G122&lt;&gt;""),K122*R122,"")</x:f>
      </x:c>
      <x:c r="T122" s="13" t="str">
        <x:f>IF(AND(ISNUMBER(A122),ISNUMBER(B122),C122&lt;&gt;"",G122&lt;&gt;""),K122*M122,"")</x:f>
      </x:c>
      <x:c r="U122" s="13" t="str">
        <x:f>IF(AND(ISNUMBER(A122),ISNUMBER(B122),C122&lt;&gt;"",G122&lt;&gt;""),K122*N122,"")</x:f>
      </x:c>
    </x:row>
    <x:row r="123" ht="24" customHeight="1">
      <x:c r="A123" s="10"/>
      <x:c r="B123" s="10"/>
      <x:c r="C123" s="10"/>
      <x:c r="D123" s="11"/>
      <x:c r="E123" s="10"/>
      <x:c r="F123" s="10"/>
      <x:c r="G123" s="10"/>
      <x:c r="H123" s="10"/>
      <x:c r="I123" s="10"/>
      <x:c r="J123" s="9" t="str">
        <x:f>IF(AND(ISNUMBER(A123),ISNUMBER(B123),C123&lt;&gt;"",G123&lt;&gt;""),IF(F123="MULTIPLE PACK",H123*I123,H123),"")</x:f>
      </x:c>
      <x:c r="K123" s="9" t="str">
        <x:f>IF(AND(ISNUMBER(A123),ISNUMBER(B123),C123&lt;&gt;"",G123&lt;&gt;""),IF(COUNTIFS($A$7:A123,A123,$B$7:B123,B123,$C$7:C123,C123,$D$7:D123,D123)=1,B123-A123+1,0),"")</x:f>
      </x:c>
      <x:c r="L123" s="9" t="str">
        <x:f>IF(AND(ISNUMBER(A123),ISNUMBER(B123),C123&lt;&gt;"",G123&lt;&gt;""),(B123-A123+1)*J123,"")</x:f>
      </x:c>
      <x:c r="M123" s="12"/>
      <x:c r="N123" s="12"/>
      <x:c r="O123" s="12"/>
      <x:c r="P123" s="12"/>
      <x:c r="Q123" s="12"/>
      <x:c r="R123" s="13" t="str">
        <x:f>IF(AND(ISNUMBER(A123),ISNUMBER(B123),C123&lt;&gt;"",G123&lt;&gt;""),O123*P123*Q123/1000000,"")</x:f>
      </x:c>
      <x:c r="S123" s="13" t="str">
        <x:f>IF(AND(ISNUMBER(A123),ISNUMBER(B123),C123&lt;&gt;"",G123&lt;&gt;""),K123*R123,"")</x:f>
      </x:c>
      <x:c r="T123" s="13" t="str">
        <x:f>IF(AND(ISNUMBER(A123),ISNUMBER(B123),C123&lt;&gt;"",G123&lt;&gt;""),K123*M123,"")</x:f>
      </x:c>
      <x:c r="U123" s="13" t="str">
        <x:f>IF(AND(ISNUMBER(A123),ISNUMBER(B123),C123&lt;&gt;"",G123&lt;&gt;""),K123*N123,"")</x:f>
      </x:c>
    </x:row>
    <x:row r="124" ht="24" customHeight="1">
      <x:c r="A124" s="10"/>
      <x:c r="B124" s="10"/>
      <x:c r="C124" s="10"/>
      <x:c r="D124" s="11"/>
      <x:c r="E124" s="10"/>
      <x:c r="F124" s="10"/>
      <x:c r="G124" s="10"/>
      <x:c r="H124" s="10"/>
      <x:c r="I124" s="10"/>
      <x:c r="J124" s="9" t="str">
        <x:f>IF(AND(ISNUMBER(A124),ISNUMBER(B124),C124&lt;&gt;"",G124&lt;&gt;""),IF(F124="MULTIPLE PACK",H124*I124,H124),"")</x:f>
      </x:c>
      <x:c r="K124" s="9" t="str">
        <x:f>IF(AND(ISNUMBER(A124),ISNUMBER(B124),C124&lt;&gt;"",G124&lt;&gt;""),IF(COUNTIFS($A$7:A124,A124,$B$7:B124,B124,$C$7:C124,C124,$D$7:D124,D124)=1,B124-A124+1,0),"")</x:f>
      </x:c>
      <x:c r="L124" s="9" t="str">
        <x:f>IF(AND(ISNUMBER(A124),ISNUMBER(B124),C124&lt;&gt;"",G124&lt;&gt;""),(B124-A124+1)*J124,"")</x:f>
      </x:c>
      <x:c r="M124" s="12"/>
      <x:c r="N124" s="12"/>
      <x:c r="O124" s="12"/>
      <x:c r="P124" s="12"/>
      <x:c r="Q124" s="12"/>
      <x:c r="R124" s="13" t="str">
        <x:f>IF(AND(ISNUMBER(A124),ISNUMBER(B124),C124&lt;&gt;"",G124&lt;&gt;""),O124*P124*Q124/1000000,"")</x:f>
      </x:c>
      <x:c r="S124" s="13" t="str">
        <x:f>IF(AND(ISNUMBER(A124),ISNUMBER(B124),C124&lt;&gt;"",G124&lt;&gt;""),K124*R124,"")</x:f>
      </x:c>
      <x:c r="T124" s="13" t="str">
        <x:f>IF(AND(ISNUMBER(A124),ISNUMBER(B124),C124&lt;&gt;"",G124&lt;&gt;""),K124*M124,"")</x:f>
      </x:c>
      <x:c r="U124" s="13" t="str">
        <x:f>IF(AND(ISNUMBER(A124),ISNUMBER(B124),C124&lt;&gt;"",G124&lt;&gt;""),K124*N124,"")</x:f>
      </x:c>
    </x:row>
    <x:row r="125" ht="24" customHeight="1">
      <x:c r="A125" s="10"/>
      <x:c r="B125" s="10"/>
      <x:c r="C125" s="10"/>
      <x:c r="D125" s="11"/>
      <x:c r="E125" s="10"/>
      <x:c r="F125" s="10"/>
      <x:c r="G125" s="10"/>
      <x:c r="H125" s="10"/>
      <x:c r="I125" s="10"/>
      <x:c r="J125" s="9" t="str">
        <x:f>IF(AND(ISNUMBER(A125),ISNUMBER(B125),C125&lt;&gt;"",G125&lt;&gt;""),IF(F125="MULTIPLE PACK",H125*I125,H125),"")</x:f>
      </x:c>
      <x:c r="K125" s="9" t="str">
        <x:f>IF(AND(ISNUMBER(A125),ISNUMBER(B125),C125&lt;&gt;"",G125&lt;&gt;""),IF(COUNTIFS($A$7:A125,A125,$B$7:B125,B125,$C$7:C125,C125,$D$7:D125,D125)=1,B125-A125+1,0),"")</x:f>
      </x:c>
      <x:c r="L125" s="9" t="str">
        <x:f>IF(AND(ISNUMBER(A125),ISNUMBER(B125),C125&lt;&gt;"",G125&lt;&gt;""),(B125-A125+1)*J125,"")</x:f>
      </x:c>
      <x:c r="M125" s="12"/>
      <x:c r="N125" s="12"/>
      <x:c r="O125" s="12"/>
      <x:c r="P125" s="12"/>
      <x:c r="Q125" s="12"/>
      <x:c r="R125" s="13" t="str">
        <x:f>IF(AND(ISNUMBER(A125),ISNUMBER(B125),C125&lt;&gt;"",G125&lt;&gt;""),O125*P125*Q125/1000000,"")</x:f>
      </x:c>
      <x:c r="S125" s="13" t="str">
        <x:f>IF(AND(ISNUMBER(A125),ISNUMBER(B125),C125&lt;&gt;"",G125&lt;&gt;""),K125*R125,"")</x:f>
      </x:c>
      <x:c r="T125" s="13" t="str">
        <x:f>IF(AND(ISNUMBER(A125),ISNUMBER(B125),C125&lt;&gt;"",G125&lt;&gt;""),K125*M125,"")</x:f>
      </x:c>
      <x:c r="U125" s="13" t="str">
        <x:f>IF(AND(ISNUMBER(A125),ISNUMBER(B125),C125&lt;&gt;"",G125&lt;&gt;""),K125*N125,"")</x:f>
      </x:c>
    </x:row>
    <x:row r="126" ht="24" customHeight="1">
      <x:c r="A126" s="10"/>
      <x:c r="B126" s="10"/>
      <x:c r="C126" s="10"/>
      <x:c r="D126" s="11"/>
      <x:c r="E126" s="10"/>
      <x:c r="F126" s="10"/>
      <x:c r="G126" s="10"/>
      <x:c r="H126" s="10"/>
      <x:c r="I126" s="10"/>
      <x:c r="J126" s="9" t="str">
        <x:f>IF(AND(ISNUMBER(A126),ISNUMBER(B126),C126&lt;&gt;"",G126&lt;&gt;""),IF(F126="MULTIPLE PACK",H126*I126,H126),"")</x:f>
      </x:c>
      <x:c r="K126" s="9" t="str">
        <x:f>IF(AND(ISNUMBER(A126),ISNUMBER(B126),C126&lt;&gt;"",G126&lt;&gt;""),IF(COUNTIFS($A$7:A126,A126,$B$7:B126,B126,$C$7:C126,C126,$D$7:D126,D126)=1,B126-A126+1,0),"")</x:f>
      </x:c>
      <x:c r="L126" s="9" t="str">
        <x:f>IF(AND(ISNUMBER(A126),ISNUMBER(B126),C126&lt;&gt;"",G126&lt;&gt;""),(B126-A126+1)*J126,"")</x:f>
      </x:c>
      <x:c r="M126" s="12"/>
      <x:c r="N126" s="12"/>
      <x:c r="O126" s="12"/>
      <x:c r="P126" s="12"/>
      <x:c r="Q126" s="12"/>
      <x:c r="R126" s="13" t="str">
        <x:f>IF(AND(ISNUMBER(A126),ISNUMBER(B126),C126&lt;&gt;"",G126&lt;&gt;""),O126*P126*Q126/1000000,"")</x:f>
      </x:c>
      <x:c r="S126" s="13" t="str">
        <x:f>IF(AND(ISNUMBER(A126),ISNUMBER(B126),C126&lt;&gt;"",G126&lt;&gt;""),K126*R126,"")</x:f>
      </x:c>
      <x:c r="T126" s="13" t="str">
        <x:f>IF(AND(ISNUMBER(A126),ISNUMBER(B126),C126&lt;&gt;"",G126&lt;&gt;""),K126*M126,"")</x:f>
      </x:c>
      <x:c r="U126" s="13" t="str">
        <x:f>IF(AND(ISNUMBER(A126),ISNUMBER(B126),C126&lt;&gt;"",G126&lt;&gt;""),K126*N126,"")</x:f>
      </x:c>
    </x:row>
    <x:row r="127" ht="24" customHeight="1">
      <x:c r="A127" s="10"/>
      <x:c r="B127" s="10"/>
      <x:c r="C127" s="10"/>
      <x:c r="D127" s="11"/>
      <x:c r="E127" s="10"/>
      <x:c r="F127" s="10"/>
      <x:c r="G127" s="10"/>
      <x:c r="H127" s="10"/>
      <x:c r="I127" s="10"/>
      <x:c r="J127" s="9" t="str">
        <x:f>IF(AND(ISNUMBER(A127),ISNUMBER(B127),C127&lt;&gt;"",G127&lt;&gt;""),IF(F127="MULTIPLE PACK",H127*I127,H127),"")</x:f>
      </x:c>
      <x:c r="K127" s="9" t="str">
        <x:f>IF(AND(ISNUMBER(A127),ISNUMBER(B127),C127&lt;&gt;"",G127&lt;&gt;""),IF(COUNTIFS($A$7:A127,A127,$B$7:B127,B127,$C$7:C127,C127,$D$7:D127,D127)=1,B127-A127+1,0),"")</x:f>
      </x:c>
      <x:c r="L127" s="9" t="str">
        <x:f>IF(AND(ISNUMBER(A127),ISNUMBER(B127),C127&lt;&gt;"",G127&lt;&gt;""),(B127-A127+1)*J127,"")</x:f>
      </x:c>
      <x:c r="M127" s="12"/>
      <x:c r="N127" s="12"/>
      <x:c r="O127" s="12"/>
      <x:c r="P127" s="12"/>
      <x:c r="Q127" s="12"/>
      <x:c r="R127" s="13" t="str">
        <x:f>IF(AND(ISNUMBER(A127),ISNUMBER(B127),C127&lt;&gt;"",G127&lt;&gt;""),O127*P127*Q127/1000000,"")</x:f>
      </x:c>
      <x:c r="S127" s="13" t="str">
        <x:f>IF(AND(ISNUMBER(A127),ISNUMBER(B127),C127&lt;&gt;"",G127&lt;&gt;""),K127*R127,"")</x:f>
      </x:c>
      <x:c r="T127" s="13" t="str">
        <x:f>IF(AND(ISNUMBER(A127),ISNUMBER(B127),C127&lt;&gt;"",G127&lt;&gt;""),K127*M127,"")</x:f>
      </x:c>
      <x:c r="U127" s="13" t="str">
        <x:f>IF(AND(ISNUMBER(A127),ISNUMBER(B127),C127&lt;&gt;"",G127&lt;&gt;""),K127*N127,"")</x:f>
      </x:c>
    </x:row>
    <x:row r="128" ht="24" customHeight="1">
      <x:c r="A128" s="10"/>
      <x:c r="B128" s="10"/>
      <x:c r="C128" s="10"/>
      <x:c r="D128" s="11"/>
      <x:c r="E128" s="10"/>
      <x:c r="F128" s="10"/>
      <x:c r="G128" s="10"/>
      <x:c r="H128" s="10"/>
      <x:c r="I128" s="10"/>
      <x:c r="J128" s="9" t="str">
        <x:f>IF(AND(ISNUMBER(A128),ISNUMBER(B128),C128&lt;&gt;"",G128&lt;&gt;""),IF(F128="MULTIPLE PACK",H128*I128,H128),"")</x:f>
      </x:c>
      <x:c r="K128" s="9" t="str">
        <x:f>IF(AND(ISNUMBER(A128),ISNUMBER(B128),C128&lt;&gt;"",G128&lt;&gt;""),IF(COUNTIFS($A$7:A128,A128,$B$7:B128,B128,$C$7:C128,C128,$D$7:D128,D128)=1,B128-A128+1,0),"")</x:f>
      </x:c>
      <x:c r="L128" s="9" t="str">
        <x:f>IF(AND(ISNUMBER(A128),ISNUMBER(B128),C128&lt;&gt;"",G128&lt;&gt;""),(B128-A128+1)*J128,"")</x:f>
      </x:c>
      <x:c r="M128" s="12"/>
      <x:c r="N128" s="12"/>
      <x:c r="O128" s="12"/>
      <x:c r="P128" s="12"/>
      <x:c r="Q128" s="12"/>
      <x:c r="R128" s="13" t="str">
        <x:f>IF(AND(ISNUMBER(A128),ISNUMBER(B128),C128&lt;&gt;"",G128&lt;&gt;""),O128*P128*Q128/1000000,"")</x:f>
      </x:c>
      <x:c r="S128" s="13" t="str">
        <x:f>IF(AND(ISNUMBER(A128),ISNUMBER(B128),C128&lt;&gt;"",G128&lt;&gt;""),K128*R128,"")</x:f>
      </x:c>
      <x:c r="T128" s="13" t="str">
        <x:f>IF(AND(ISNUMBER(A128),ISNUMBER(B128),C128&lt;&gt;"",G128&lt;&gt;""),K128*M128,"")</x:f>
      </x:c>
      <x:c r="U128" s="13" t="str">
        <x:f>IF(AND(ISNUMBER(A128),ISNUMBER(B128),C128&lt;&gt;"",G128&lt;&gt;""),K128*N128,"")</x:f>
      </x:c>
    </x:row>
    <x:row r="129" ht="24" customHeight="1">
      <x:c r="A129" s="10"/>
      <x:c r="B129" s="10"/>
      <x:c r="C129" s="10"/>
      <x:c r="D129" s="11"/>
      <x:c r="E129" s="10"/>
      <x:c r="F129" s="10"/>
      <x:c r="G129" s="10"/>
      <x:c r="H129" s="10"/>
      <x:c r="I129" s="10"/>
      <x:c r="J129" s="9" t="str">
        <x:f>IF(AND(ISNUMBER(A129),ISNUMBER(B129),C129&lt;&gt;"",G129&lt;&gt;""),IF(F129="MULTIPLE PACK",H129*I129,H129),"")</x:f>
      </x:c>
      <x:c r="K129" s="9" t="str">
        <x:f>IF(AND(ISNUMBER(A129),ISNUMBER(B129),C129&lt;&gt;"",G129&lt;&gt;""),IF(COUNTIFS($A$7:A129,A129,$B$7:B129,B129,$C$7:C129,C129,$D$7:D129,D129)=1,B129-A129+1,0),"")</x:f>
      </x:c>
      <x:c r="L129" s="9" t="str">
        <x:f>IF(AND(ISNUMBER(A129),ISNUMBER(B129),C129&lt;&gt;"",G129&lt;&gt;""),(B129-A129+1)*J129,"")</x:f>
      </x:c>
      <x:c r="M129" s="12"/>
      <x:c r="N129" s="12"/>
      <x:c r="O129" s="12"/>
      <x:c r="P129" s="12"/>
      <x:c r="Q129" s="12"/>
      <x:c r="R129" s="13" t="str">
        <x:f>IF(AND(ISNUMBER(A129),ISNUMBER(B129),C129&lt;&gt;"",G129&lt;&gt;""),O129*P129*Q129/1000000,"")</x:f>
      </x:c>
      <x:c r="S129" s="13" t="str">
        <x:f>IF(AND(ISNUMBER(A129),ISNUMBER(B129),C129&lt;&gt;"",G129&lt;&gt;""),K129*R129,"")</x:f>
      </x:c>
      <x:c r="T129" s="13" t="str">
        <x:f>IF(AND(ISNUMBER(A129),ISNUMBER(B129),C129&lt;&gt;"",G129&lt;&gt;""),K129*M129,"")</x:f>
      </x:c>
      <x:c r="U129" s="13" t="str">
        <x:f>IF(AND(ISNUMBER(A129),ISNUMBER(B129),C129&lt;&gt;"",G129&lt;&gt;""),K129*N129,"")</x:f>
      </x:c>
    </x:row>
    <x:row r="130" ht="24" customHeight="1">
      <x:c r="A130" s="10"/>
      <x:c r="B130" s="10"/>
      <x:c r="C130" s="10"/>
      <x:c r="D130" s="11"/>
      <x:c r="E130" s="10"/>
      <x:c r="F130" s="10"/>
      <x:c r="G130" s="10"/>
      <x:c r="H130" s="10"/>
      <x:c r="I130" s="10"/>
      <x:c r="J130" s="9" t="str">
        <x:f>IF(AND(ISNUMBER(A130),ISNUMBER(B130),C130&lt;&gt;"",G130&lt;&gt;""),IF(F130="MULTIPLE PACK",H130*I130,H130),"")</x:f>
      </x:c>
      <x:c r="K130" s="9" t="str">
        <x:f>IF(AND(ISNUMBER(A130),ISNUMBER(B130),C130&lt;&gt;"",G130&lt;&gt;""),IF(COUNTIFS($A$7:A130,A130,$B$7:B130,B130,$C$7:C130,C130,$D$7:D130,D130)=1,B130-A130+1,0),"")</x:f>
      </x:c>
      <x:c r="L130" s="9" t="str">
        <x:f>IF(AND(ISNUMBER(A130),ISNUMBER(B130),C130&lt;&gt;"",G130&lt;&gt;""),(B130-A130+1)*J130,"")</x:f>
      </x:c>
      <x:c r="M130" s="12"/>
      <x:c r="N130" s="12"/>
      <x:c r="O130" s="12"/>
      <x:c r="P130" s="12"/>
      <x:c r="Q130" s="12"/>
      <x:c r="R130" s="13" t="str">
        <x:f>IF(AND(ISNUMBER(A130),ISNUMBER(B130),C130&lt;&gt;"",G130&lt;&gt;""),O130*P130*Q130/1000000,"")</x:f>
      </x:c>
      <x:c r="S130" s="13" t="str">
        <x:f>IF(AND(ISNUMBER(A130),ISNUMBER(B130),C130&lt;&gt;"",G130&lt;&gt;""),K130*R130,"")</x:f>
      </x:c>
      <x:c r="T130" s="13" t="str">
        <x:f>IF(AND(ISNUMBER(A130),ISNUMBER(B130),C130&lt;&gt;"",G130&lt;&gt;""),K130*M130,"")</x:f>
      </x:c>
      <x:c r="U130" s="13" t="str">
        <x:f>IF(AND(ISNUMBER(A130),ISNUMBER(B130),C130&lt;&gt;"",G130&lt;&gt;""),K130*N130,"")</x:f>
      </x:c>
    </x:row>
    <x:row r="131" ht="24" customHeight="1">
      <x:c r="A131" s="10"/>
      <x:c r="B131" s="10"/>
      <x:c r="C131" s="10"/>
      <x:c r="D131" s="11"/>
      <x:c r="E131" s="10"/>
      <x:c r="F131" s="10"/>
      <x:c r="G131" s="10"/>
      <x:c r="H131" s="10"/>
      <x:c r="I131" s="10"/>
      <x:c r="J131" s="9" t="str">
        <x:f>IF(AND(ISNUMBER(A131),ISNUMBER(B131),C131&lt;&gt;"",G131&lt;&gt;""),IF(F131="MULTIPLE PACK",H131*I131,H131),"")</x:f>
      </x:c>
      <x:c r="K131" s="9" t="str">
        <x:f>IF(AND(ISNUMBER(A131),ISNUMBER(B131),C131&lt;&gt;"",G131&lt;&gt;""),IF(COUNTIFS($A$7:A131,A131,$B$7:B131,B131,$C$7:C131,C131,$D$7:D131,D131)=1,B131-A131+1,0),"")</x:f>
      </x:c>
      <x:c r="L131" s="9" t="str">
        <x:f>IF(AND(ISNUMBER(A131),ISNUMBER(B131),C131&lt;&gt;"",G131&lt;&gt;""),(B131-A131+1)*J131,"")</x:f>
      </x:c>
      <x:c r="M131" s="12"/>
      <x:c r="N131" s="12"/>
      <x:c r="O131" s="12"/>
      <x:c r="P131" s="12"/>
      <x:c r="Q131" s="12"/>
      <x:c r="R131" s="13" t="str">
        <x:f>IF(AND(ISNUMBER(A131),ISNUMBER(B131),C131&lt;&gt;"",G131&lt;&gt;""),O131*P131*Q131/1000000,"")</x:f>
      </x:c>
      <x:c r="S131" s="13" t="str">
        <x:f>IF(AND(ISNUMBER(A131),ISNUMBER(B131),C131&lt;&gt;"",G131&lt;&gt;""),K131*R131,"")</x:f>
      </x:c>
      <x:c r="T131" s="13" t="str">
        <x:f>IF(AND(ISNUMBER(A131),ISNUMBER(B131),C131&lt;&gt;"",G131&lt;&gt;""),K131*M131,"")</x:f>
      </x:c>
      <x:c r="U131" s="13" t="str">
        <x:f>IF(AND(ISNUMBER(A131),ISNUMBER(B131),C131&lt;&gt;"",G131&lt;&gt;""),K131*N131,"")</x:f>
      </x:c>
    </x:row>
    <x:row r="132" ht="24" customHeight="1">
      <x:c r="A132" s="10"/>
      <x:c r="B132" s="10"/>
      <x:c r="C132" s="10"/>
      <x:c r="D132" s="11"/>
      <x:c r="E132" s="10"/>
      <x:c r="F132" s="10"/>
      <x:c r="G132" s="10"/>
      <x:c r="H132" s="10"/>
      <x:c r="I132" s="10"/>
      <x:c r="J132" s="9" t="str">
        <x:f>IF(AND(ISNUMBER(A132),ISNUMBER(B132),C132&lt;&gt;"",G132&lt;&gt;""),IF(F132="MULTIPLE PACK",H132*I132,H132),"")</x:f>
      </x:c>
      <x:c r="K132" s="9" t="str">
        <x:f>IF(AND(ISNUMBER(A132),ISNUMBER(B132),C132&lt;&gt;"",G132&lt;&gt;""),IF(COUNTIFS($A$7:A132,A132,$B$7:B132,B132,$C$7:C132,C132,$D$7:D132,D132)=1,B132-A132+1,0),"")</x:f>
      </x:c>
      <x:c r="L132" s="9" t="str">
        <x:f>IF(AND(ISNUMBER(A132),ISNUMBER(B132),C132&lt;&gt;"",G132&lt;&gt;""),(B132-A132+1)*J132,"")</x:f>
      </x:c>
      <x:c r="M132" s="12"/>
      <x:c r="N132" s="12"/>
      <x:c r="O132" s="12"/>
      <x:c r="P132" s="12"/>
      <x:c r="Q132" s="12"/>
      <x:c r="R132" s="13" t="str">
        <x:f>IF(AND(ISNUMBER(A132),ISNUMBER(B132),C132&lt;&gt;"",G132&lt;&gt;""),O132*P132*Q132/1000000,"")</x:f>
      </x:c>
      <x:c r="S132" s="13" t="str">
        <x:f>IF(AND(ISNUMBER(A132),ISNUMBER(B132),C132&lt;&gt;"",G132&lt;&gt;""),K132*R132,"")</x:f>
      </x:c>
      <x:c r="T132" s="13" t="str">
        <x:f>IF(AND(ISNUMBER(A132),ISNUMBER(B132),C132&lt;&gt;"",G132&lt;&gt;""),K132*M132,"")</x:f>
      </x:c>
      <x:c r="U132" s="13" t="str">
        <x:f>IF(AND(ISNUMBER(A132),ISNUMBER(B132),C132&lt;&gt;"",G132&lt;&gt;""),K132*N132,"")</x:f>
      </x:c>
    </x:row>
    <x:row r="133" ht="24" customHeight="1">
      <x:c r="A133" s="10"/>
      <x:c r="B133" s="10"/>
      <x:c r="C133" s="10"/>
      <x:c r="D133" s="11"/>
      <x:c r="E133" s="10"/>
      <x:c r="F133" s="10"/>
      <x:c r="G133" s="10"/>
      <x:c r="H133" s="10"/>
      <x:c r="I133" s="10"/>
      <x:c r="J133" s="9" t="str">
        <x:f>IF(AND(ISNUMBER(A133),ISNUMBER(B133),C133&lt;&gt;"",G133&lt;&gt;""),IF(F133="MULTIPLE PACK",H133*I133,H133),"")</x:f>
      </x:c>
      <x:c r="K133" s="9" t="str">
        <x:f>IF(AND(ISNUMBER(A133),ISNUMBER(B133),C133&lt;&gt;"",G133&lt;&gt;""),IF(COUNTIFS($A$7:A133,A133,$B$7:B133,B133,$C$7:C133,C133,$D$7:D133,D133)=1,B133-A133+1,0),"")</x:f>
      </x:c>
      <x:c r="L133" s="9" t="str">
        <x:f>IF(AND(ISNUMBER(A133),ISNUMBER(B133),C133&lt;&gt;"",G133&lt;&gt;""),(B133-A133+1)*J133,"")</x:f>
      </x:c>
      <x:c r="M133" s="12"/>
      <x:c r="N133" s="12"/>
      <x:c r="O133" s="12"/>
      <x:c r="P133" s="12"/>
      <x:c r="Q133" s="12"/>
      <x:c r="R133" s="13" t="str">
        <x:f>IF(AND(ISNUMBER(A133),ISNUMBER(B133),C133&lt;&gt;"",G133&lt;&gt;""),O133*P133*Q133/1000000,"")</x:f>
      </x:c>
      <x:c r="S133" s="13" t="str">
        <x:f>IF(AND(ISNUMBER(A133),ISNUMBER(B133),C133&lt;&gt;"",G133&lt;&gt;""),K133*R133,"")</x:f>
      </x:c>
      <x:c r="T133" s="13" t="str">
        <x:f>IF(AND(ISNUMBER(A133),ISNUMBER(B133),C133&lt;&gt;"",G133&lt;&gt;""),K133*M133,"")</x:f>
      </x:c>
      <x:c r="U133" s="13" t="str">
        <x:f>IF(AND(ISNUMBER(A133),ISNUMBER(B133),C133&lt;&gt;"",G133&lt;&gt;""),K133*N133,"")</x:f>
      </x:c>
    </x:row>
    <x:row r="134" ht="24" customHeight="1">
      <x:c r="A134" s="10"/>
      <x:c r="B134" s="10"/>
      <x:c r="C134" s="10"/>
      <x:c r="D134" s="11"/>
      <x:c r="E134" s="10"/>
      <x:c r="F134" s="10"/>
      <x:c r="G134" s="10"/>
      <x:c r="H134" s="10"/>
      <x:c r="I134" s="10"/>
      <x:c r="J134" s="9" t="str">
        <x:f>IF(AND(ISNUMBER(A134),ISNUMBER(B134),C134&lt;&gt;"",G134&lt;&gt;""),IF(F134="MULTIPLE PACK",H134*I134,H134),"")</x:f>
      </x:c>
      <x:c r="K134" s="9" t="str">
        <x:f>IF(AND(ISNUMBER(A134),ISNUMBER(B134),C134&lt;&gt;"",G134&lt;&gt;""),IF(COUNTIFS($A$7:A134,A134,$B$7:B134,B134,$C$7:C134,C134,$D$7:D134,D134)=1,B134-A134+1,0),"")</x:f>
      </x:c>
      <x:c r="L134" s="9" t="str">
        <x:f>IF(AND(ISNUMBER(A134),ISNUMBER(B134),C134&lt;&gt;"",G134&lt;&gt;""),(B134-A134+1)*J134,"")</x:f>
      </x:c>
      <x:c r="M134" s="12"/>
      <x:c r="N134" s="12"/>
      <x:c r="O134" s="12"/>
      <x:c r="P134" s="12"/>
      <x:c r="Q134" s="12"/>
      <x:c r="R134" s="13" t="str">
        <x:f>IF(AND(ISNUMBER(A134),ISNUMBER(B134),C134&lt;&gt;"",G134&lt;&gt;""),O134*P134*Q134/1000000,"")</x:f>
      </x:c>
      <x:c r="S134" s="13" t="str">
        <x:f>IF(AND(ISNUMBER(A134),ISNUMBER(B134),C134&lt;&gt;"",G134&lt;&gt;""),K134*R134,"")</x:f>
      </x:c>
      <x:c r="T134" s="13" t="str">
        <x:f>IF(AND(ISNUMBER(A134),ISNUMBER(B134),C134&lt;&gt;"",G134&lt;&gt;""),K134*M134,"")</x:f>
      </x:c>
      <x:c r="U134" s="13" t="str">
        <x:f>IF(AND(ISNUMBER(A134),ISNUMBER(B134),C134&lt;&gt;"",G134&lt;&gt;""),K134*N134,"")</x:f>
      </x:c>
    </x:row>
    <x:row r="135" ht="24" customHeight="1">
      <x:c r="A135" s="10"/>
      <x:c r="B135" s="10"/>
      <x:c r="C135" s="10"/>
      <x:c r="D135" s="11"/>
      <x:c r="E135" s="10"/>
      <x:c r="F135" s="10"/>
      <x:c r="G135" s="10"/>
      <x:c r="H135" s="10"/>
      <x:c r="I135" s="10"/>
      <x:c r="J135" s="9" t="str">
        <x:f>IF(AND(ISNUMBER(A135),ISNUMBER(B135),C135&lt;&gt;"",G135&lt;&gt;""),IF(F135="MULTIPLE PACK",H135*I135,H135),"")</x:f>
      </x:c>
      <x:c r="K135" s="9" t="str">
        <x:f>IF(AND(ISNUMBER(A135),ISNUMBER(B135),C135&lt;&gt;"",G135&lt;&gt;""),IF(COUNTIFS($A$7:A135,A135,$B$7:B135,B135,$C$7:C135,C135,$D$7:D135,D135)=1,B135-A135+1,0),"")</x:f>
      </x:c>
      <x:c r="L135" s="9" t="str">
        <x:f>IF(AND(ISNUMBER(A135),ISNUMBER(B135),C135&lt;&gt;"",G135&lt;&gt;""),(B135-A135+1)*J135,"")</x:f>
      </x:c>
      <x:c r="M135" s="12"/>
      <x:c r="N135" s="12"/>
      <x:c r="O135" s="12"/>
      <x:c r="P135" s="12"/>
      <x:c r="Q135" s="12"/>
      <x:c r="R135" s="13" t="str">
        <x:f>IF(AND(ISNUMBER(A135),ISNUMBER(B135),C135&lt;&gt;"",G135&lt;&gt;""),O135*P135*Q135/1000000,"")</x:f>
      </x:c>
      <x:c r="S135" s="13" t="str">
        <x:f>IF(AND(ISNUMBER(A135),ISNUMBER(B135),C135&lt;&gt;"",G135&lt;&gt;""),K135*R135,"")</x:f>
      </x:c>
      <x:c r="T135" s="13" t="str">
        <x:f>IF(AND(ISNUMBER(A135),ISNUMBER(B135),C135&lt;&gt;"",G135&lt;&gt;""),K135*M135,"")</x:f>
      </x:c>
      <x:c r="U135" s="13" t="str">
        <x:f>IF(AND(ISNUMBER(A135),ISNUMBER(B135),C135&lt;&gt;"",G135&lt;&gt;""),K135*N135,"")</x:f>
      </x:c>
    </x:row>
    <x:row r="136" ht="24" customHeight="1">
      <x:c r="A136" s="10"/>
      <x:c r="B136" s="10"/>
      <x:c r="C136" s="10"/>
      <x:c r="D136" s="11"/>
      <x:c r="E136" s="10"/>
      <x:c r="F136" s="10"/>
      <x:c r="G136" s="10"/>
      <x:c r="H136" s="10"/>
      <x:c r="I136" s="10"/>
      <x:c r="J136" s="9" t="str">
        <x:f>IF(AND(ISNUMBER(A136),ISNUMBER(B136),C136&lt;&gt;"",G136&lt;&gt;""),IF(F136="MULTIPLE PACK",H136*I136,H136),"")</x:f>
      </x:c>
      <x:c r="K136" s="9" t="str">
        <x:f>IF(AND(ISNUMBER(A136),ISNUMBER(B136),C136&lt;&gt;"",G136&lt;&gt;""),IF(COUNTIFS($A$7:A136,A136,$B$7:B136,B136,$C$7:C136,C136,$D$7:D136,D136)=1,B136-A136+1,0),"")</x:f>
      </x:c>
      <x:c r="L136" s="9" t="str">
        <x:f>IF(AND(ISNUMBER(A136),ISNUMBER(B136),C136&lt;&gt;"",G136&lt;&gt;""),(B136-A136+1)*J136,"")</x:f>
      </x:c>
      <x:c r="M136" s="12"/>
      <x:c r="N136" s="12"/>
      <x:c r="O136" s="12"/>
      <x:c r="P136" s="12"/>
      <x:c r="Q136" s="12"/>
      <x:c r="R136" s="13" t="str">
        <x:f>IF(AND(ISNUMBER(A136),ISNUMBER(B136),C136&lt;&gt;"",G136&lt;&gt;""),O136*P136*Q136/1000000,"")</x:f>
      </x:c>
      <x:c r="S136" s="13" t="str">
        <x:f>IF(AND(ISNUMBER(A136),ISNUMBER(B136),C136&lt;&gt;"",G136&lt;&gt;""),K136*R136,"")</x:f>
      </x:c>
      <x:c r="T136" s="13" t="str">
        <x:f>IF(AND(ISNUMBER(A136),ISNUMBER(B136),C136&lt;&gt;"",G136&lt;&gt;""),K136*M136,"")</x:f>
      </x:c>
      <x:c r="U136" s="13" t="str">
        <x:f>IF(AND(ISNUMBER(A136),ISNUMBER(B136),C136&lt;&gt;"",G136&lt;&gt;""),K136*N136,"")</x:f>
      </x:c>
    </x:row>
    <x:row r="137" ht="24" customHeight="1">
      <x:c r="A137" s="10"/>
      <x:c r="B137" s="10"/>
      <x:c r="C137" s="10"/>
      <x:c r="D137" s="11"/>
      <x:c r="E137" s="10"/>
      <x:c r="F137" s="10"/>
      <x:c r="G137" s="10"/>
      <x:c r="H137" s="10"/>
      <x:c r="I137" s="10"/>
      <x:c r="J137" s="9" t="str">
        <x:f>IF(AND(ISNUMBER(A137),ISNUMBER(B137),C137&lt;&gt;"",G137&lt;&gt;""),IF(F137="MULTIPLE PACK",H137*I137,H137),"")</x:f>
      </x:c>
      <x:c r="K137" s="9" t="str">
        <x:f>IF(AND(ISNUMBER(A137),ISNUMBER(B137),C137&lt;&gt;"",G137&lt;&gt;""),IF(COUNTIFS($A$7:A137,A137,$B$7:B137,B137,$C$7:C137,C137,$D$7:D137,D137)=1,B137-A137+1,0),"")</x:f>
      </x:c>
      <x:c r="L137" s="9" t="str">
        <x:f>IF(AND(ISNUMBER(A137),ISNUMBER(B137),C137&lt;&gt;"",G137&lt;&gt;""),(B137-A137+1)*J137,"")</x:f>
      </x:c>
      <x:c r="M137" s="12"/>
      <x:c r="N137" s="12"/>
      <x:c r="O137" s="12"/>
      <x:c r="P137" s="12"/>
      <x:c r="Q137" s="12"/>
      <x:c r="R137" s="13" t="str">
        <x:f>IF(AND(ISNUMBER(A137),ISNUMBER(B137),C137&lt;&gt;"",G137&lt;&gt;""),O137*P137*Q137/1000000,"")</x:f>
      </x:c>
      <x:c r="S137" s="13" t="str">
        <x:f>IF(AND(ISNUMBER(A137),ISNUMBER(B137),C137&lt;&gt;"",G137&lt;&gt;""),K137*R137,"")</x:f>
      </x:c>
      <x:c r="T137" s="13" t="str">
        <x:f>IF(AND(ISNUMBER(A137),ISNUMBER(B137),C137&lt;&gt;"",G137&lt;&gt;""),K137*M137,"")</x:f>
      </x:c>
      <x:c r="U137" s="13" t="str">
        <x:f>IF(AND(ISNUMBER(A137),ISNUMBER(B137),C137&lt;&gt;"",G137&lt;&gt;""),K137*N137,"")</x:f>
      </x:c>
    </x:row>
    <x:row r="138" ht="24" customHeight="1">
      <x:c r="A138" s="10"/>
      <x:c r="B138" s="10"/>
      <x:c r="C138" s="10"/>
      <x:c r="D138" s="11"/>
      <x:c r="E138" s="10"/>
      <x:c r="F138" s="10"/>
      <x:c r="G138" s="10"/>
      <x:c r="H138" s="10"/>
      <x:c r="I138" s="10"/>
      <x:c r="J138" s="9" t="str">
        <x:f>IF(AND(ISNUMBER(A138),ISNUMBER(B138),C138&lt;&gt;"",G138&lt;&gt;""),IF(F138="MULTIPLE PACK",H138*I138,H138),"")</x:f>
      </x:c>
      <x:c r="K138" s="9" t="str">
        <x:f>IF(AND(ISNUMBER(A138),ISNUMBER(B138),C138&lt;&gt;"",G138&lt;&gt;""),IF(COUNTIFS($A$7:A138,A138,$B$7:B138,B138,$C$7:C138,C138,$D$7:D138,D138)=1,B138-A138+1,0),"")</x:f>
      </x:c>
      <x:c r="L138" s="9" t="str">
        <x:f>IF(AND(ISNUMBER(A138),ISNUMBER(B138),C138&lt;&gt;"",G138&lt;&gt;""),(B138-A138+1)*J138,"")</x:f>
      </x:c>
      <x:c r="M138" s="12"/>
      <x:c r="N138" s="12"/>
      <x:c r="O138" s="12"/>
      <x:c r="P138" s="12"/>
      <x:c r="Q138" s="12"/>
      <x:c r="R138" s="13" t="str">
        <x:f>IF(AND(ISNUMBER(A138),ISNUMBER(B138),C138&lt;&gt;"",G138&lt;&gt;""),O138*P138*Q138/1000000,"")</x:f>
      </x:c>
      <x:c r="S138" s="13" t="str">
        <x:f>IF(AND(ISNUMBER(A138),ISNUMBER(B138),C138&lt;&gt;"",G138&lt;&gt;""),K138*R138,"")</x:f>
      </x:c>
      <x:c r="T138" s="13" t="str">
        <x:f>IF(AND(ISNUMBER(A138),ISNUMBER(B138),C138&lt;&gt;"",G138&lt;&gt;""),K138*M138,"")</x:f>
      </x:c>
      <x:c r="U138" s="13" t="str">
        <x:f>IF(AND(ISNUMBER(A138),ISNUMBER(B138),C138&lt;&gt;"",G138&lt;&gt;""),K138*N138,"")</x:f>
      </x:c>
    </x:row>
    <x:row r="139" ht="24" customHeight="1">
      <x:c r="A139" s="10"/>
      <x:c r="B139" s="10"/>
      <x:c r="C139" s="10"/>
      <x:c r="D139" s="11"/>
      <x:c r="E139" s="10"/>
      <x:c r="F139" s="10"/>
      <x:c r="G139" s="10"/>
      <x:c r="H139" s="10"/>
      <x:c r="I139" s="10"/>
      <x:c r="J139" s="9" t="str">
        <x:f>IF(AND(ISNUMBER(A139),ISNUMBER(B139),C139&lt;&gt;"",G139&lt;&gt;""),IF(F139="MULTIPLE PACK",H139*I139,H139),"")</x:f>
      </x:c>
      <x:c r="K139" s="9" t="str">
        <x:f>IF(AND(ISNUMBER(A139),ISNUMBER(B139),C139&lt;&gt;"",G139&lt;&gt;""),IF(COUNTIFS($A$7:A139,A139,$B$7:B139,B139,$C$7:C139,C139,$D$7:D139,D139)=1,B139-A139+1,0),"")</x:f>
      </x:c>
      <x:c r="L139" s="9" t="str">
        <x:f>IF(AND(ISNUMBER(A139),ISNUMBER(B139),C139&lt;&gt;"",G139&lt;&gt;""),(B139-A139+1)*J139,"")</x:f>
      </x:c>
      <x:c r="M139" s="12"/>
      <x:c r="N139" s="12"/>
      <x:c r="O139" s="12"/>
      <x:c r="P139" s="12"/>
      <x:c r="Q139" s="12"/>
      <x:c r="R139" s="13" t="str">
        <x:f>IF(AND(ISNUMBER(A139),ISNUMBER(B139),C139&lt;&gt;"",G139&lt;&gt;""),O139*P139*Q139/1000000,"")</x:f>
      </x:c>
      <x:c r="S139" s="13" t="str">
        <x:f>IF(AND(ISNUMBER(A139),ISNUMBER(B139),C139&lt;&gt;"",G139&lt;&gt;""),K139*R139,"")</x:f>
      </x:c>
      <x:c r="T139" s="13" t="str">
        <x:f>IF(AND(ISNUMBER(A139),ISNUMBER(B139),C139&lt;&gt;"",G139&lt;&gt;""),K139*M139,"")</x:f>
      </x:c>
      <x:c r="U139" s="13" t="str">
        <x:f>IF(AND(ISNUMBER(A139),ISNUMBER(B139),C139&lt;&gt;"",G139&lt;&gt;""),K139*N139,"")</x:f>
      </x:c>
    </x:row>
    <x:row r="140" ht="24" customHeight="1">
      <x:c r="A140" s="10"/>
      <x:c r="B140" s="10"/>
      <x:c r="C140" s="10"/>
      <x:c r="D140" s="11"/>
      <x:c r="E140" s="10"/>
      <x:c r="F140" s="10"/>
      <x:c r="G140" s="10"/>
      <x:c r="H140" s="10"/>
      <x:c r="I140" s="10"/>
      <x:c r="J140" s="9" t="str">
        <x:f>IF(AND(ISNUMBER(A140),ISNUMBER(B140),C140&lt;&gt;"",G140&lt;&gt;""),IF(F140="MULTIPLE PACK",H140*I140,H140),"")</x:f>
      </x:c>
      <x:c r="K140" s="9" t="str">
        <x:f>IF(AND(ISNUMBER(A140),ISNUMBER(B140),C140&lt;&gt;"",G140&lt;&gt;""),IF(COUNTIFS($A$7:A140,A140,$B$7:B140,B140,$C$7:C140,C140,$D$7:D140,D140)=1,B140-A140+1,0),"")</x:f>
      </x:c>
      <x:c r="L140" s="9" t="str">
        <x:f>IF(AND(ISNUMBER(A140),ISNUMBER(B140),C140&lt;&gt;"",G140&lt;&gt;""),(B140-A140+1)*J140,"")</x:f>
      </x:c>
      <x:c r="M140" s="12"/>
      <x:c r="N140" s="12"/>
      <x:c r="O140" s="12"/>
      <x:c r="P140" s="12"/>
      <x:c r="Q140" s="12"/>
      <x:c r="R140" s="13" t="str">
        <x:f>IF(AND(ISNUMBER(A140),ISNUMBER(B140),C140&lt;&gt;"",G140&lt;&gt;""),O140*P140*Q140/1000000,"")</x:f>
      </x:c>
      <x:c r="S140" s="13" t="str">
        <x:f>IF(AND(ISNUMBER(A140),ISNUMBER(B140),C140&lt;&gt;"",G140&lt;&gt;""),K140*R140,"")</x:f>
      </x:c>
      <x:c r="T140" s="13" t="str">
        <x:f>IF(AND(ISNUMBER(A140),ISNUMBER(B140),C140&lt;&gt;"",G140&lt;&gt;""),K140*M140,"")</x:f>
      </x:c>
      <x:c r="U140" s="13" t="str">
        <x:f>IF(AND(ISNUMBER(A140),ISNUMBER(B140),C140&lt;&gt;"",G140&lt;&gt;""),K140*N140,"")</x:f>
      </x:c>
    </x:row>
    <x:row r="141" ht="24" customHeight="1">
      <x:c r="A141" s="10"/>
      <x:c r="B141" s="10"/>
      <x:c r="C141" s="10"/>
      <x:c r="D141" s="11"/>
      <x:c r="E141" s="10"/>
      <x:c r="F141" s="10"/>
      <x:c r="G141" s="10"/>
      <x:c r="H141" s="10"/>
      <x:c r="I141" s="10"/>
      <x:c r="J141" s="9" t="str">
        <x:f>IF(AND(ISNUMBER(A141),ISNUMBER(B141),C141&lt;&gt;"",G141&lt;&gt;""),IF(F141="MULTIPLE PACK",H141*I141,H141),"")</x:f>
      </x:c>
      <x:c r="K141" s="9" t="str">
        <x:f>IF(AND(ISNUMBER(A141),ISNUMBER(B141),C141&lt;&gt;"",G141&lt;&gt;""),IF(COUNTIFS($A$7:A141,A141,$B$7:B141,B141,$C$7:C141,C141,$D$7:D141,D141)=1,B141-A141+1,0),"")</x:f>
      </x:c>
      <x:c r="L141" s="9" t="str">
        <x:f>IF(AND(ISNUMBER(A141),ISNUMBER(B141),C141&lt;&gt;"",G141&lt;&gt;""),(B141-A141+1)*J141,"")</x:f>
      </x:c>
      <x:c r="M141" s="12"/>
      <x:c r="N141" s="12"/>
      <x:c r="O141" s="12"/>
      <x:c r="P141" s="12"/>
      <x:c r="Q141" s="12"/>
      <x:c r="R141" s="13" t="str">
        <x:f>IF(AND(ISNUMBER(A141),ISNUMBER(B141),C141&lt;&gt;"",G141&lt;&gt;""),O141*P141*Q141/1000000,"")</x:f>
      </x:c>
      <x:c r="S141" s="13" t="str">
        <x:f>IF(AND(ISNUMBER(A141),ISNUMBER(B141),C141&lt;&gt;"",G141&lt;&gt;""),K141*R141,"")</x:f>
      </x:c>
      <x:c r="T141" s="13" t="str">
        <x:f>IF(AND(ISNUMBER(A141),ISNUMBER(B141),C141&lt;&gt;"",G141&lt;&gt;""),K141*M141,"")</x:f>
      </x:c>
      <x:c r="U141" s="13" t="str">
        <x:f>IF(AND(ISNUMBER(A141),ISNUMBER(B141),C141&lt;&gt;"",G141&lt;&gt;""),K141*N141,"")</x:f>
      </x:c>
    </x:row>
    <x:row r="142" ht="24" customHeight="1">
      <x:c r="A142" s="10"/>
      <x:c r="B142" s="10"/>
      <x:c r="C142" s="10"/>
      <x:c r="D142" s="11"/>
      <x:c r="E142" s="10"/>
      <x:c r="F142" s="10"/>
      <x:c r="G142" s="10"/>
      <x:c r="H142" s="10"/>
      <x:c r="I142" s="10"/>
      <x:c r="J142" s="9" t="str">
        <x:f>IF(AND(ISNUMBER(A142),ISNUMBER(B142),C142&lt;&gt;"",G142&lt;&gt;""),IF(F142="MULTIPLE PACK",H142*I142,H142),"")</x:f>
      </x:c>
      <x:c r="K142" s="9" t="str">
        <x:f>IF(AND(ISNUMBER(A142),ISNUMBER(B142),C142&lt;&gt;"",G142&lt;&gt;""),IF(COUNTIFS($A$7:A142,A142,$B$7:B142,B142,$C$7:C142,C142,$D$7:D142,D142)=1,B142-A142+1,0),"")</x:f>
      </x:c>
      <x:c r="L142" s="9" t="str">
        <x:f>IF(AND(ISNUMBER(A142),ISNUMBER(B142),C142&lt;&gt;"",G142&lt;&gt;""),(B142-A142+1)*J142,"")</x:f>
      </x:c>
      <x:c r="M142" s="12"/>
      <x:c r="N142" s="12"/>
      <x:c r="O142" s="12"/>
      <x:c r="P142" s="12"/>
      <x:c r="Q142" s="12"/>
      <x:c r="R142" s="13" t="str">
        <x:f>IF(AND(ISNUMBER(A142),ISNUMBER(B142),C142&lt;&gt;"",G142&lt;&gt;""),O142*P142*Q142/1000000,"")</x:f>
      </x:c>
      <x:c r="S142" s="13" t="str">
        <x:f>IF(AND(ISNUMBER(A142),ISNUMBER(B142),C142&lt;&gt;"",G142&lt;&gt;""),K142*R142,"")</x:f>
      </x:c>
      <x:c r="T142" s="13" t="str">
        <x:f>IF(AND(ISNUMBER(A142),ISNUMBER(B142),C142&lt;&gt;"",G142&lt;&gt;""),K142*M142,"")</x:f>
      </x:c>
      <x:c r="U142" s="13" t="str">
        <x:f>IF(AND(ISNUMBER(A142),ISNUMBER(B142),C142&lt;&gt;"",G142&lt;&gt;""),K142*N142,"")</x:f>
      </x:c>
    </x:row>
    <x:row r="143" ht="24" customHeight="1">
      <x:c r="A143" s="10"/>
      <x:c r="B143" s="10"/>
      <x:c r="C143" s="10"/>
      <x:c r="D143" s="11"/>
      <x:c r="E143" s="10"/>
      <x:c r="F143" s="10"/>
      <x:c r="G143" s="10"/>
      <x:c r="H143" s="10"/>
      <x:c r="I143" s="10"/>
      <x:c r="J143" s="9" t="str">
        <x:f>IF(AND(ISNUMBER(A143),ISNUMBER(B143),C143&lt;&gt;"",G143&lt;&gt;""),IF(F143="MULTIPLE PACK",H143*I143,H143),"")</x:f>
      </x:c>
      <x:c r="K143" s="9" t="str">
        <x:f>IF(AND(ISNUMBER(A143),ISNUMBER(B143),C143&lt;&gt;"",G143&lt;&gt;""),IF(COUNTIFS($A$7:A143,A143,$B$7:B143,B143,$C$7:C143,C143,$D$7:D143,D143)=1,B143-A143+1,0),"")</x:f>
      </x:c>
      <x:c r="L143" s="9" t="str">
        <x:f>IF(AND(ISNUMBER(A143),ISNUMBER(B143),C143&lt;&gt;"",G143&lt;&gt;""),(B143-A143+1)*J143,"")</x:f>
      </x:c>
      <x:c r="M143" s="12"/>
      <x:c r="N143" s="12"/>
      <x:c r="O143" s="12"/>
      <x:c r="P143" s="12"/>
      <x:c r="Q143" s="12"/>
      <x:c r="R143" s="13" t="str">
        <x:f>IF(AND(ISNUMBER(A143),ISNUMBER(B143),C143&lt;&gt;"",G143&lt;&gt;""),O143*P143*Q143/1000000,"")</x:f>
      </x:c>
      <x:c r="S143" s="13" t="str">
        <x:f>IF(AND(ISNUMBER(A143),ISNUMBER(B143),C143&lt;&gt;"",G143&lt;&gt;""),K143*R143,"")</x:f>
      </x:c>
      <x:c r="T143" s="13" t="str">
        <x:f>IF(AND(ISNUMBER(A143),ISNUMBER(B143),C143&lt;&gt;"",G143&lt;&gt;""),K143*M143,"")</x:f>
      </x:c>
      <x:c r="U143" s="13" t="str">
        <x:f>IF(AND(ISNUMBER(A143),ISNUMBER(B143),C143&lt;&gt;"",G143&lt;&gt;""),K143*N143,"")</x:f>
      </x:c>
    </x:row>
    <x:row r="144" ht="24" customHeight="1">
      <x:c r="A144" s="10"/>
      <x:c r="B144" s="10"/>
      <x:c r="C144" s="10"/>
      <x:c r="D144" s="11"/>
      <x:c r="E144" s="10"/>
      <x:c r="F144" s="10"/>
      <x:c r="G144" s="10"/>
      <x:c r="H144" s="10"/>
      <x:c r="I144" s="10"/>
      <x:c r="J144" s="9" t="str">
        <x:f>IF(AND(ISNUMBER(A144),ISNUMBER(B144),C144&lt;&gt;"",G144&lt;&gt;""),IF(F144="MULTIPLE PACK",H144*I144,H144),"")</x:f>
      </x:c>
      <x:c r="K144" s="9" t="str">
        <x:f>IF(AND(ISNUMBER(A144),ISNUMBER(B144),C144&lt;&gt;"",G144&lt;&gt;""),IF(COUNTIFS($A$7:A144,A144,$B$7:B144,B144,$C$7:C144,C144,$D$7:D144,D144)=1,B144-A144+1,0),"")</x:f>
      </x:c>
      <x:c r="L144" s="9" t="str">
        <x:f>IF(AND(ISNUMBER(A144),ISNUMBER(B144),C144&lt;&gt;"",G144&lt;&gt;""),(B144-A144+1)*J144,"")</x:f>
      </x:c>
      <x:c r="M144" s="12"/>
      <x:c r="N144" s="12"/>
      <x:c r="O144" s="12"/>
      <x:c r="P144" s="12"/>
      <x:c r="Q144" s="12"/>
      <x:c r="R144" s="13" t="str">
        <x:f>IF(AND(ISNUMBER(A144),ISNUMBER(B144),C144&lt;&gt;"",G144&lt;&gt;""),O144*P144*Q144/1000000,"")</x:f>
      </x:c>
      <x:c r="S144" s="13" t="str">
        <x:f>IF(AND(ISNUMBER(A144),ISNUMBER(B144),C144&lt;&gt;"",G144&lt;&gt;""),K144*R144,"")</x:f>
      </x:c>
      <x:c r="T144" s="13" t="str">
        <x:f>IF(AND(ISNUMBER(A144),ISNUMBER(B144),C144&lt;&gt;"",G144&lt;&gt;""),K144*M144,"")</x:f>
      </x:c>
      <x:c r="U144" s="13" t="str">
        <x:f>IF(AND(ISNUMBER(A144),ISNUMBER(B144),C144&lt;&gt;"",G144&lt;&gt;""),K144*N144,"")</x:f>
      </x:c>
    </x:row>
    <x:row r="145" ht="24" customHeight="1">
      <x:c r="A145" s="10"/>
      <x:c r="B145" s="10"/>
      <x:c r="C145" s="10"/>
      <x:c r="D145" s="11"/>
      <x:c r="E145" s="10"/>
      <x:c r="F145" s="10"/>
      <x:c r="G145" s="10"/>
      <x:c r="H145" s="10"/>
      <x:c r="I145" s="10"/>
      <x:c r="J145" s="9" t="str">
        <x:f>IF(AND(ISNUMBER(A145),ISNUMBER(B145),C145&lt;&gt;"",G145&lt;&gt;""),IF(F145="MULTIPLE PACK",H145*I145,H145),"")</x:f>
      </x:c>
      <x:c r="K145" s="9" t="str">
        <x:f>IF(AND(ISNUMBER(A145),ISNUMBER(B145),C145&lt;&gt;"",G145&lt;&gt;""),IF(COUNTIFS($A$7:A145,A145,$B$7:B145,B145,$C$7:C145,C145,$D$7:D145,D145)=1,B145-A145+1,0),"")</x:f>
      </x:c>
      <x:c r="L145" s="9" t="str">
        <x:f>IF(AND(ISNUMBER(A145),ISNUMBER(B145),C145&lt;&gt;"",G145&lt;&gt;""),(B145-A145+1)*J145,"")</x:f>
      </x:c>
      <x:c r="M145" s="12"/>
      <x:c r="N145" s="12"/>
      <x:c r="O145" s="12"/>
      <x:c r="P145" s="12"/>
      <x:c r="Q145" s="12"/>
      <x:c r="R145" s="13" t="str">
        <x:f>IF(AND(ISNUMBER(A145),ISNUMBER(B145),C145&lt;&gt;"",G145&lt;&gt;""),O145*P145*Q145/1000000,"")</x:f>
      </x:c>
      <x:c r="S145" s="13" t="str">
        <x:f>IF(AND(ISNUMBER(A145),ISNUMBER(B145),C145&lt;&gt;"",G145&lt;&gt;""),K145*R145,"")</x:f>
      </x:c>
      <x:c r="T145" s="13" t="str">
        <x:f>IF(AND(ISNUMBER(A145),ISNUMBER(B145),C145&lt;&gt;"",G145&lt;&gt;""),K145*M145,"")</x:f>
      </x:c>
      <x:c r="U145" s="13" t="str">
        <x:f>IF(AND(ISNUMBER(A145),ISNUMBER(B145),C145&lt;&gt;"",G145&lt;&gt;""),K145*N145,"")</x:f>
      </x:c>
    </x:row>
    <x:row r="146" ht="24" customHeight="1">
      <x:c r="A146" s="10"/>
      <x:c r="B146" s="10"/>
      <x:c r="C146" s="10"/>
      <x:c r="D146" s="11"/>
      <x:c r="E146" s="10"/>
      <x:c r="F146" s="10"/>
      <x:c r="G146" s="10"/>
      <x:c r="H146" s="10"/>
      <x:c r="I146" s="10"/>
      <x:c r="J146" s="9" t="str">
        <x:f>IF(AND(ISNUMBER(A146),ISNUMBER(B146),C146&lt;&gt;"",G146&lt;&gt;""),IF(F146="MULTIPLE PACK",H146*I146,H146),"")</x:f>
      </x:c>
      <x:c r="K146" s="9" t="str">
        <x:f>IF(AND(ISNUMBER(A146),ISNUMBER(B146),C146&lt;&gt;"",G146&lt;&gt;""),IF(COUNTIFS($A$7:A146,A146,$B$7:B146,B146,$C$7:C146,C146,$D$7:D146,D146)=1,B146-A146+1,0),"")</x:f>
      </x:c>
      <x:c r="L146" s="9" t="str">
        <x:f>IF(AND(ISNUMBER(A146),ISNUMBER(B146),C146&lt;&gt;"",G146&lt;&gt;""),(B146-A146+1)*J146,"")</x:f>
      </x:c>
      <x:c r="M146" s="12"/>
      <x:c r="N146" s="12"/>
      <x:c r="O146" s="12"/>
      <x:c r="P146" s="12"/>
      <x:c r="Q146" s="12"/>
      <x:c r="R146" s="13" t="str">
        <x:f>IF(AND(ISNUMBER(A146),ISNUMBER(B146),C146&lt;&gt;"",G146&lt;&gt;""),O146*P146*Q146/1000000,"")</x:f>
      </x:c>
      <x:c r="S146" s="13" t="str">
        <x:f>IF(AND(ISNUMBER(A146),ISNUMBER(B146),C146&lt;&gt;"",G146&lt;&gt;""),K146*R146,"")</x:f>
      </x:c>
      <x:c r="T146" s="13" t="str">
        <x:f>IF(AND(ISNUMBER(A146),ISNUMBER(B146),C146&lt;&gt;"",G146&lt;&gt;""),K146*M146,"")</x:f>
      </x:c>
      <x:c r="U146" s="13" t="str">
        <x:f>IF(AND(ISNUMBER(A146),ISNUMBER(B146),C146&lt;&gt;"",G146&lt;&gt;""),K146*N146,"")</x:f>
      </x:c>
    </x:row>
    <x:row r="147" ht="24" customHeight="1">
      <x:c r="A147" s="10"/>
      <x:c r="B147" s="10"/>
      <x:c r="C147" s="10"/>
      <x:c r="D147" s="11"/>
      <x:c r="E147" s="10"/>
      <x:c r="F147" s="10"/>
      <x:c r="G147" s="10"/>
      <x:c r="H147" s="10"/>
      <x:c r="I147" s="10"/>
      <x:c r="J147" s="9" t="str">
        <x:f>IF(AND(ISNUMBER(A147),ISNUMBER(B147),C147&lt;&gt;"",G147&lt;&gt;""),IF(F147="MULTIPLE PACK",H147*I147,H147),"")</x:f>
      </x:c>
      <x:c r="K147" s="9" t="str">
        <x:f>IF(AND(ISNUMBER(A147),ISNUMBER(B147),C147&lt;&gt;"",G147&lt;&gt;""),IF(COUNTIFS($A$7:A147,A147,$B$7:B147,B147,$C$7:C147,C147,$D$7:D147,D147)=1,B147-A147+1,0),"")</x:f>
      </x:c>
      <x:c r="L147" s="9" t="str">
        <x:f>IF(AND(ISNUMBER(A147),ISNUMBER(B147),C147&lt;&gt;"",G147&lt;&gt;""),(B147-A147+1)*J147,"")</x:f>
      </x:c>
      <x:c r="M147" s="12"/>
      <x:c r="N147" s="12"/>
      <x:c r="O147" s="12"/>
      <x:c r="P147" s="12"/>
      <x:c r="Q147" s="12"/>
      <x:c r="R147" s="13" t="str">
        <x:f>IF(AND(ISNUMBER(A147),ISNUMBER(B147),C147&lt;&gt;"",G147&lt;&gt;""),O147*P147*Q147/1000000,"")</x:f>
      </x:c>
      <x:c r="S147" s="13" t="str">
        <x:f>IF(AND(ISNUMBER(A147),ISNUMBER(B147),C147&lt;&gt;"",G147&lt;&gt;""),K147*R147,"")</x:f>
      </x:c>
      <x:c r="T147" s="13" t="str">
        <x:f>IF(AND(ISNUMBER(A147),ISNUMBER(B147),C147&lt;&gt;"",G147&lt;&gt;""),K147*M147,"")</x:f>
      </x:c>
      <x:c r="U147" s="13" t="str">
        <x:f>IF(AND(ISNUMBER(A147),ISNUMBER(B147),C147&lt;&gt;"",G147&lt;&gt;""),K147*N147,"")</x:f>
      </x:c>
    </x:row>
    <x:row r="148" ht="24" customHeight="1">
      <x:c r="A148" s="10"/>
      <x:c r="B148" s="10"/>
      <x:c r="C148" s="10"/>
      <x:c r="D148" s="11"/>
      <x:c r="E148" s="10"/>
      <x:c r="F148" s="10"/>
      <x:c r="G148" s="10"/>
      <x:c r="H148" s="10"/>
      <x:c r="I148" s="10"/>
      <x:c r="J148" s="9" t="str">
        <x:f>IF(AND(ISNUMBER(A148),ISNUMBER(B148),C148&lt;&gt;"",G148&lt;&gt;""),IF(F148="MULTIPLE PACK",H148*I148,H148),"")</x:f>
      </x:c>
      <x:c r="K148" s="9" t="str">
        <x:f>IF(AND(ISNUMBER(A148),ISNUMBER(B148),C148&lt;&gt;"",G148&lt;&gt;""),IF(COUNTIFS($A$7:A148,A148,$B$7:B148,B148,$C$7:C148,C148,$D$7:D148,D148)=1,B148-A148+1,0),"")</x:f>
      </x:c>
      <x:c r="L148" s="9" t="str">
        <x:f>IF(AND(ISNUMBER(A148),ISNUMBER(B148),C148&lt;&gt;"",G148&lt;&gt;""),(B148-A148+1)*J148,"")</x:f>
      </x:c>
      <x:c r="M148" s="12"/>
      <x:c r="N148" s="12"/>
      <x:c r="O148" s="12"/>
      <x:c r="P148" s="12"/>
      <x:c r="Q148" s="12"/>
      <x:c r="R148" s="13" t="str">
        <x:f>IF(AND(ISNUMBER(A148),ISNUMBER(B148),C148&lt;&gt;"",G148&lt;&gt;""),O148*P148*Q148/1000000,"")</x:f>
      </x:c>
      <x:c r="S148" s="13" t="str">
        <x:f>IF(AND(ISNUMBER(A148),ISNUMBER(B148),C148&lt;&gt;"",G148&lt;&gt;""),K148*R148,"")</x:f>
      </x:c>
      <x:c r="T148" s="13" t="str">
        <x:f>IF(AND(ISNUMBER(A148),ISNUMBER(B148),C148&lt;&gt;"",G148&lt;&gt;""),K148*M148,"")</x:f>
      </x:c>
      <x:c r="U148" s="13" t="str">
        <x:f>IF(AND(ISNUMBER(A148),ISNUMBER(B148),C148&lt;&gt;"",G148&lt;&gt;""),K148*N148,"")</x:f>
      </x:c>
    </x:row>
    <x:row r="149" ht="24" customHeight="1">
      <x:c r="A149" s="10"/>
      <x:c r="B149" s="10"/>
      <x:c r="C149" s="10"/>
      <x:c r="D149" s="11"/>
      <x:c r="E149" s="10"/>
      <x:c r="F149" s="10"/>
      <x:c r="G149" s="10"/>
      <x:c r="H149" s="10"/>
      <x:c r="I149" s="10"/>
      <x:c r="J149" s="9" t="str">
        <x:f>IF(AND(ISNUMBER(A149),ISNUMBER(B149),C149&lt;&gt;"",G149&lt;&gt;""),IF(F149="MULTIPLE PACK",H149*I149,H149),"")</x:f>
      </x:c>
      <x:c r="K149" s="9" t="str">
        <x:f>IF(AND(ISNUMBER(A149),ISNUMBER(B149),C149&lt;&gt;"",G149&lt;&gt;""),IF(COUNTIFS($A$7:A149,A149,$B$7:B149,B149,$C$7:C149,C149,$D$7:D149,D149)=1,B149-A149+1,0),"")</x:f>
      </x:c>
      <x:c r="L149" s="9" t="str">
        <x:f>IF(AND(ISNUMBER(A149),ISNUMBER(B149),C149&lt;&gt;"",G149&lt;&gt;""),(B149-A149+1)*J149,"")</x:f>
      </x:c>
      <x:c r="M149" s="12"/>
      <x:c r="N149" s="12"/>
      <x:c r="O149" s="12"/>
      <x:c r="P149" s="12"/>
      <x:c r="Q149" s="12"/>
      <x:c r="R149" s="13" t="str">
        <x:f>IF(AND(ISNUMBER(A149),ISNUMBER(B149),C149&lt;&gt;"",G149&lt;&gt;""),O149*P149*Q149/1000000,"")</x:f>
      </x:c>
      <x:c r="S149" s="13" t="str">
        <x:f>IF(AND(ISNUMBER(A149),ISNUMBER(B149),C149&lt;&gt;"",G149&lt;&gt;""),K149*R149,"")</x:f>
      </x:c>
      <x:c r="T149" s="13" t="str">
        <x:f>IF(AND(ISNUMBER(A149),ISNUMBER(B149),C149&lt;&gt;"",G149&lt;&gt;""),K149*M149,"")</x:f>
      </x:c>
      <x:c r="U149" s="13" t="str">
        <x:f>IF(AND(ISNUMBER(A149),ISNUMBER(B149),C149&lt;&gt;"",G149&lt;&gt;""),K149*N149,"")</x:f>
      </x:c>
    </x:row>
    <x:row r="150" ht="24" customHeight="1">
      <x:c r="A150" s="10"/>
      <x:c r="B150" s="10"/>
      <x:c r="C150" s="10"/>
      <x:c r="D150" s="11"/>
      <x:c r="E150" s="10"/>
      <x:c r="F150" s="10"/>
      <x:c r="G150" s="10"/>
      <x:c r="H150" s="10"/>
      <x:c r="I150" s="10"/>
      <x:c r="J150" s="9" t="str">
        <x:f>IF(AND(ISNUMBER(A150),ISNUMBER(B150),C150&lt;&gt;"",G150&lt;&gt;""),IF(F150="MULTIPLE PACK",H150*I150,H150),"")</x:f>
      </x:c>
      <x:c r="K150" s="9" t="str">
        <x:f>IF(AND(ISNUMBER(A150),ISNUMBER(B150),C150&lt;&gt;"",G150&lt;&gt;""),IF(COUNTIFS($A$7:A150,A150,$B$7:B150,B150,$C$7:C150,C150,$D$7:D150,D150)=1,B150-A150+1,0),"")</x:f>
      </x:c>
      <x:c r="L150" s="9" t="str">
        <x:f>IF(AND(ISNUMBER(A150),ISNUMBER(B150),C150&lt;&gt;"",G150&lt;&gt;""),(B150-A150+1)*J150,"")</x:f>
      </x:c>
      <x:c r="M150" s="12"/>
      <x:c r="N150" s="12"/>
      <x:c r="O150" s="12"/>
      <x:c r="P150" s="12"/>
      <x:c r="Q150" s="12"/>
      <x:c r="R150" s="13" t="str">
        <x:f>IF(AND(ISNUMBER(A150),ISNUMBER(B150),C150&lt;&gt;"",G150&lt;&gt;""),O150*P150*Q150/1000000,"")</x:f>
      </x:c>
      <x:c r="S150" s="13" t="str">
        <x:f>IF(AND(ISNUMBER(A150),ISNUMBER(B150),C150&lt;&gt;"",G150&lt;&gt;""),K150*R150,"")</x:f>
      </x:c>
      <x:c r="T150" s="13" t="str">
        <x:f>IF(AND(ISNUMBER(A150),ISNUMBER(B150),C150&lt;&gt;"",G150&lt;&gt;""),K150*M150,"")</x:f>
      </x:c>
      <x:c r="U150" s="13" t="str">
        <x:f>IF(AND(ISNUMBER(A150),ISNUMBER(B150),C150&lt;&gt;"",G150&lt;&gt;""),K150*N150,"")</x:f>
      </x:c>
    </x:row>
    <x:row r="151" ht="24" customHeight="1">
      <x:c r="A151" s="10"/>
      <x:c r="B151" s="10"/>
      <x:c r="C151" s="10"/>
      <x:c r="D151" s="11"/>
      <x:c r="E151" s="10"/>
      <x:c r="F151" s="10"/>
      <x:c r="G151" s="10"/>
      <x:c r="H151" s="10"/>
      <x:c r="I151" s="10"/>
      <x:c r="J151" s="9" t="str">
        <x:f>IF(AND(ISNUMBER(A151),ISNUMBER(B151),C151&lt;&gt;"",G151&lt;&gt;""),IF(F151="MULTIPLE PACK",H151*I151,H151),"")</x:f>
      </x:c>
      <x:c r="K151" s="9" t="str">
        <x:f>IF(AND(ISNUMBER(A151),ISNUMBER(B151),C151&lt;&gt;"",G151&lt;&gt;""),IF(COUNTIFS($A$7:A151,A151,$B$7:B151,B151,$C$7:C151,C151,$D$7:D151,D151)=1,B151-A151+1,0),"")</x:f>
      </x:c>
      <x:c r="L151" s="9" t="str">
        <x:f>IF(AND(ISNUMBER(A151),ISNUMBER(B151),C151&lt;&gt;"",G151&lt;&gt;""),(B151-A151+1)*J151,"")</x:f>
      </x:c>
      <x:c r="M151" s="12"/>
      <x:c r="N151" s="12"/>
      <x:c r="O151" s="12"/>
      <x:c r="P151" s="12"/>
      <x:c r="Q151" s="12"/>
      <x:c r="R151" s="13" t="str">
        <x:f>IF(AND(ISNUMBER(A151),ISNUMBER(B151),C151&lt;&gt;"",G151&lt;&gt;""),O151*P151*Q151/1000000,"")</x:f>
      </x:c>
      <x:c r="S151" s="13" t="str">
        <x:f>IF(AND(ISNUMBER(A151),ISNUMBER(B151),C151&lt;&gt;"",G151&lt;&gt;""),K151*R151,"")</x:f>
      </x:c>
      <x:c r="T151" s="13" t="str">
        <x:f>IF(AND(ISNUMBER(A151),ISNUMBER(B151),C151&lt;&gt;"",G151&lt;&gt;""),K151*M151,"")</x:f>
      </x:c>
      <x:c r="U151" s="13" t="str">
        <x:f>IF(AND(ISNUMBER(A151),ISNUMBER(B151),C151&lt;&gt;"",G151&lt;&gt;""),K151*N151,"")</x:f>
      </x:c>
    </x:row>
    <x:row r="152" ht="24" customHeight="1">
      <x:c r="A152" s="10"/>
      <x:c r="B152" s="10"/>
      <x:c r="C152" s="10"/>
      <x:c r="D152" s="11"/>
      <x:c r="E152" s="10"/>
      <x:c r="F152" s="10"/>
      <x:c r="G152" s="10"/>
      <x:c r="H152" s="10"/>
      <x:c r="I152" s="10"/>
      <x:c r="J152" s="9" t="str">
        <x:f>IF(AND(ISNUMBER(A152),ISNUMBER(B152),C152&lt;&gt;"",G152&lt;&gt;""),IF(F152="MULTIPLE PACK",H152*I152,H152),"")</x:f>
      </x:c>
      <x:c r="K152" s="9" t="str">
        <x:f>IF(AND(ISNUMBER(A152),ISNUMBER(B152),C152&lt;&gt;"",G152&lt;&gt;""),IF(COUNTIFS($A$7:A152,A152,$B$7:B152,B152,$C$7:C152,C152,$D$7:D152,D152)=1,B152-A152+1,0),"")</x:f>
      </x:c>
      <x:c r="L152" s="9" t="str">
        <x:f>IF(AND(ISNUMBER(A152),ISNUMBER(B152),C152&lt;&gt;"",G152&lt;&gt;""),(B152-A152+1)*J152,"")</x:f>
      </x:c>
      <x:c r="M152" s="12"/>
      <x:c r="N152" s="12"/>
      <x:c r="O152" s="12"/>
      <x:c r="P152" s="12"/>
      <x:c r="Q152" s="12"/>
      <x:c r="R152" s="13" t="str">
        <x:f>IF(AND(ISNUMBER(A152),ISNUMBER(B152),C152&lt;&gt;"",G152&lt;&gt;""),O152*P152*Q152/1000000,"")</x:f>
      </x:c>
      <x:c r="S152" s="13" t="str">
        <x:f>IF(AND(ISNUMBER(A152),ISNUMBER(B152),C152&lt;&gt;"",G152&lt;&gt;""),K152*R152,"")</x:f>
      </x:c>
      <x:c r="T152" s="13" t="str">
        <x:f>IF(AND(ISNUMBER(A152),ISNUMBER(B152),C152&lt;&gt;"",G152&lt;&gt;""),K152*M152,"")</x:f>
      </x:c>
      <x:c r="U152" s="13" t="str">
        <x:f>IF(AND(ISNUMBER(A152),ISNUMBER(B152),C152&lt;&gt;"",G152&lt;&gt;""),K152*N152,"")</x:f>
      </x:c>
    </x:row>
    <x:row r="153" ht="24" customHeight="1">
      <x:c r="A153" s="10"/>
      <x:c r="B153" s="10"/>
      <x:c r="C153" s="10"/>
      <x:c r="D153" s="11"/>
      <x:c r="E153" s="10"/>
      <x:c r="F153" s="10"/>
      <x:c r="G153" s="10"/>
      <x:c r="H153" s="10"/>
      <x:c r="I153" s="10"/>
      <x:c r="J153" s="9" t="str">
        <x:f>IF(AND(ISNUMBER(A153),ISNUMBER(B153),C153&lt;&gt;"",G153&lt;&gt;""),IF(F153="MULTIPLE PACK",H153*I153,H153),"")</x:f>
      </x:c>
      <x:c r="K153" s="9" t="str">
        <x:f>IF(AND(ISNUMBER(A153),ISNUMBER(B153),C153&lt;&gt;"",G153&lt;&gt;""),IF(COUNTIFS($A$7:A153,A153,$B$7:B153,B153,$C$7:C153,C153,$D$7:D153,D153)=1,B153-A153+1,0),"")</x:f>
      </x:c>
      <x:c r="L153" s="9" t="str">
        <x:f>IF(AND(ISNUMBER(A153),ISNUMBER(B153),C153&lt;&gt;"",G153&lt;&gt;""),(B153-A153+1)*J153,"")</x:f>
      </x:c>
      <x:c r="M153" s="12"/>
      <x:c r="N153" s="12"/>
      <x:c r="O153" s="12"/>
      <x:c r="P153" s="12"/>
      <x:c r="Q153" s="12"/>
      <x:c r="R153" s="13" t="str">
        <x:f>IF(AND(ISNUMBER(A153),ISNUMBER(B153),C153&lt;&gt;"",G153&lt;&gt;""),O153*P153*Q153/1000000,"")</x:f>
      </x:c>
      <x:c r="S153" s="13" t="str">
        <x:f>IF(AND(ISNUMBER(A153),ISNUMBER(B153),C153&lt;&gt;"",G153&lt;&gt;""),K153*R153,"")</x:f>
      </x:c>
      <x:c r="T153" s="13" t="str">
        <x:f>IF(AND(ISNUMBER(A153),ISNUMBER(B153),C153&lt;&gt;"",G153&lt;&gt;""),K153*M153,"")</x:f>
      </x:c>
      <x:c r="U153" s="13" t="str">
        <x:f>IF(AND(ISNUMBER(A153),ISNUMBER(B153),C153&lt;&gt;"",G153&lt;&gt;""),K153*N153,"")</x:f>
      </x:c>
    </x:row>
    <x:row r="154" ht="24" customHeight="1">
      <x:c r="A154" s="10"/>
      <x:c r="B154" s="10"/>
      <x:c r="C154" s="10"/>
      <x:c r="D154" s="11"/>
      <x:c r="E154" s="10"/>
      <x:c r="F154" s="10"/>
      <x:c r="G154" s="10"/>
      <x:c r="H154" s="10"/>
      <x:c r="I154" s="10"/>
      <x:c r="J154" s="9" t="str">
        <x:f>IF(AND(ISNUMBER(A154),ISNUMBER(B154),C154&lt;&gt;"",G154&lt;&gt;""),IF(F154="MULTIPLE PACK",H154*I154,H154),"")</x:f>
      </x:c>
      <x:c r="K154" s="9" t="str">
        <x:f>IF(AND(ISNUMBER(A154),ISNUMBER(B154),C154&lt;&gt;"",G154&lt;&gt;""),IF(COUNTIFS($A$7:A154,A154,$B$7:B154,B154,$C$7:C154,C154,$D$7:D154,D154)=1,B154-A154+1,0),"")</x:f>
      </x:c>
      <x:c r="L154" s="9" t="str">
        <x:f>IF(AND(ISNUMBER(A154),ISNUMBER(B154),C154&lt;&gt;"",G154&lt;&gt;""),(B154-A154+1)*J154,"")</x:f>
      </x:c>
      <x:c r="M154" s="12"/>
      <x:c r="N154" s="12"/>
      <x:c r="O154" s="12"/>
      <x:c r="P154" s="12"/>
      <x:c r="Q154" s="12"/>
      <x:c r="R154" s="13" t="str">
        <x:f>IF(AND(ISNUMBER(A154),ISNUMBER(B154),C154&lt;&gt;"",G154&lt;&gt;""),O154*P154*Q154/1000000,"")</x:f>
      </x:c>
      <x:c r="S154" s="13" t="str">
        <x:f>IF(AND(ISNUMBER(A154),ISNUMBER(B154),C154&lt;&gt;"",G154&lt;&gt;""),K154*R154,"")</x:f>
      </x:c>
      <x:c r="T154" s="13" t="str">
        <x:f>IF(AND(ISNUMBER(A154),ISNUMBER(B154),C154&lt;&gt;"",G154&lt;&gt;""),K154*M154,"")</x:f>
      </x:c>
      <x:c r="U154" s="13" t="str">
        <x:f>IF(AND(ISNUMBER(A154),ISNUMBER(B154),C154&lt;&gt;"",G154&lt;&gt;""),K154*N154,"")</x:f>
      </x:c>
    </x:row>
    <x:row r="155" ht="24" customHeight="1">
      <x:c r="A155" s="10"/>
      <x:c r="B155" s="10"/>
      <x:c r="C155" s="10"/>
      <x:c r="D155" s="11"/>
      <x:c r="E155" s="10"/>
      <x:c r="F155" s="10"/>
      <x:c r="G155" s="10"/>
      <x:c r="H155" s="10"/>
      <x:c r="I155" s="10"/>
      <x:c r="J155" s="9" t="str">
        <x:f>IF(AND(ISNUMBER(A155),ISNUMBER(B155),C155&lt;&gt;"",G155&lt;&gt;""),IF(F155="MULTIPLE PACK",H155*I155,H155),"")</x:f>
      </x:c>
      <x:c r="K155" s="9" t="str">
        <x:f>IF(AND(ISNUMBER(A155),ISNUMBER(B155),C155&lt;&gt;"",G155&lt;&gt;""),IF(COUNTIFS($A$7:A155,A155,$B$7:B155,B155,$C$7:C155,C155,$D$7:D155,D155)=1,B155-A155+1,0),"")</x:f>
      </x:c>
      <x:c r="L155" s="9" t="str">
        <x:f>IF(AND(ISNUMBER(A155),ISNUMBER(B155),C155&lt;&gt;"",G155&lt;&gt;""),(B155-A155+1)*J155,"")</x:f>
      </x:c>
      <x:c r="M155" s="12"/>
      <x:c r="N155" s="12"/>
      <x:c r="O155" s="12"/>
      <x:c r="P155" s="12"/>
      <x:c r="Q155" s="12"/>
      <x:c r="R155" s="13" t="str">
        <x:f>IF(AND(ISNUMBER(A155),ISNUMBER(B155),C155&lt;&gt;"",G155&lt;&gt;""),O155*P155*Q155/1000000,"")</x:f>
      </x:c>
      <x:c r="S155" s="13" t="str">
        <x:f>IF(AND(ISNUMBER(A155),ISNUMBER(B155),C155&lt;&gt;"",G155&lt;&gt;""),K155*R155,"")</x:f>
      </x:c>
      <x:c r="T155" s="13" t="str">
        <x:f>IF(AND(ISNUMBER(A155),ISNUMBER(B155),C155&lt;&gt;"",G155&lt;&gt;""),K155*M155,"")</x:f>
      </x:c>
      <x:c r="U155" s="13" t="str">
        <x:f>IF(AND(ISNUMBER(A155),ISNUMBER(B155),C155&lt;&gt;"",G155&lt;&gt;""),K155*N155,"")</x:f>
      </x:c>
    </x:row>
    <x:row r="156" ht="24" customHeight="1">
      <x:c r="A156" s="10"/>
      <x:c r="B156" s="10"/>
      <x:c r="C156" s="10"/>
      <x:c r="D156" s="11"/>
      <x:c r="E156" s="10"/>
      <x:c r="F156" s="10"/>
      <x:c r="G156" s="10"/>
      <x:c r="H156" s="10"/>
      <x:c r="I156" s="10"/>
      <x:c r="J156" s="9" t="str">
        <x:f>IF(AND(ISNUMBER(A156),ISNUMBER(B156),C156&lt;&gt;"",G156&lt;&gt;""),IF(F156="MULTIPLE PACK",H156*I156,H156),"")</x:f>
      </x:c>
      <x:c r="K156" s="9" t="str">
        <x:f>IF(AND(ISNUMBER(A156),ISNUMBER(B156),C156&lt;&gt;"",G156&lt;&gt;""),IF(COUNTIFS($A$7:A156,A156,$B$7:B156,B156,$C$7:C156,C156,$D$7:D156,D156)=1,B156-A156+1,0),"")</x:f>
      </x:c>
      <x:c r="L156" s="9" t="str">
        <x:f>IF(AND(ISNUMBER(A156),ISNUMBER(B156),C156&lt;&gt;"",G156&lt;&gt;""),(B156-A156+1)*J156,"")</x:f>
      </x:c>
      <x:c r="M156" s="12"/>
      <x:c r="N156" s="12"/>
      <x:c r="O156" s="12"/>
      <x:c r="P156" s="12"/>
      <x:c r="Q156" s="12"/>
      <x:c r="R156" s="13" t="str">
        <x:f>IF(AND(ISNUMBER(A156),ISNUMBER(B156),C156&lt;&gt;"",G156&lt;&gt;""),O156*P156*Q156/1000000,"")</x:f>
      </x:c>
      <x:c r="S156" s="13" t="str">
        <x:f>IF(AND(ISNUMBER(A156),ISNUMBER(B156),C156&lt;&gt;"",G156&lt;&gt;""),K156*R156,"")</x:f>
      </x:c>
      <x:c r="T156" s="13" t="str">
        <x:f>IF(AND(ISNUMBER(A156),ISNUMBER(B156),C156&lt;&gt;"",G156&lt;&gt;""),K156*M156,"")</x:f>
      </x:c>
      <x:c r="U156" s="13" t="str">
        <x:f>IF(AND(ISNUMBER(A156),ISNUMBER(B156),C156&lt;&gt;"",G156&lt;&gt;""),K156*N156,"")</x:f>
      </x:c>
    </x:row>
    <x:row r="157" ht="24" customHeight="1">
      <x:c r="A157" s="10"/>
      <x:c r="B157" s="10"/>
      <x:c r="C157" s="10"/>
      <x:c r="D157" s="11"/>
      <x:c r="E157" s="10"/>
      <x:c r="F157" s="10"/>
      <x:c r="G157" s="10"/>
      <x:c r="H157" s="10"/>
      <x:c r="I157" s="10"/>
      <x:c r="J157" s="9" t="str">
        <x:f>IF(AND(ISNUMBER(A157),ISNUMBER(B157),C157&lt;&gt;"",G157&lt;&gt;""),IF(F157="MULTIPLE PACK",H157*I157,H157),"")</x:f>
      </x:c>
      <x:c r="K157" s="9" t="str">
        <x:f>IF(AND(ISNUMBER(A157),ISNUMBER(B157),C157&lt;&gt;"",G157&lt;&gt;""),IF(COUNTIFS($A$7:A157,A157,$B$7:B157,B157,$C$7:C157,C157,$D$7:D157,D157)=1,B157-A157+1,0),"")</x:f>
      </x:c>
      <x:c r="L157" s="9" t="str">
        <x:f>IF(AND(ISNUMBER(A157),ISNUMBER(B157),C157&lt;&gt;"",G157&lt;&gt;""),(B157-A157+1)*J157,"")</x:f>
      </x:c>
      <x:c r="M157" s="12"/>
      <x:c r="N157" s="12"/>
      <x:c r="O157" s="12"/>
      <x:c r="P157" s="12"/>
      <x:c r="Q157" s="12"/>
      <x:c r="R157" s="13" t="str">
        <x:f>IF(AND(ISNUMBER(A157),ISNUMBER(B157),C157&lt;&gt;"",G157&lt;&gt;""),O157*P157*Q157/1000000,"")</x:f>
      </x:c>
      <x:c r="S157" s="13" t="str">
        <x:f>IF(AND(ISNUMBER(A157),ISNUMBER(B157),C157&lt;&gt;"",G157&lt;&gt;""),K157*R157,"")</x:f>
      </x:c>
      <x:c r="T157" s="13" t="str">
        <x:f>IF(AND(ISNUMBER(A157),ISNUMBER(B157),C157&lt;&gt;"",G157&lt;&gt;""),K157*M157,"")</x:f>
      </x:c>
      <x:c r="U157" s="13" t="str">
        <x:f>IF(AND(ISNUMBER(A157),ISNUMBER(B157),C157&lt;&gt;"",G157&lt;&gt;""),K157*N157,"")</x:f>
      </x:c>
    </x:row>
    <x:row r="158" ht="24" customHeight="1">
      <x:c r="A158" s="10"/>
      <x:c r="B158" s="10"/>
      <x:c r="C158" s="10"/>
      <x:c r="D158" s="11"/>
      <x:c r="E158" s="10"/>
      <x:c r="F158" s="10"/>
      <x:c r="G158" s="10"/>
      <x:c r="H158" s="10"/>
      <x:c r="I158" s="10"/>
      <x:c r="J158" s="9" t="str">
        <x:f>IF(AND(ISNUMBER(A158),ISNUMBER(B158),C158&lt;&gt;"",G158&lt;&gt;""),IF(F158="MULTIPLE PACK",H158*I158,H158),"")</x:f>
      </x:c>
      <x:c r="K158" s="9" t="str">
        <x:f>IF(AND(ISNUMBER(A158),ISNUMBER(B158),C158&lt;&gt;"",G158&lt;&gt;""),IF(COUNTIFS($A$7:A158,A158,$B$7:B158,B158,$C$7:C158,C158,$D$7:D158,D158)=1,B158-A158+1,0),"")</x:f>
      </x:c>
      <x:c r="L158" s="9" t="str">
        <x:f>IF(AND(ISNUMBER(A158),ISNUMBER(B158),C158&lt;&gt;"",G158&lt;&gt;""),(B158-A158+1)*J158,"")</x:f>
      </x:c>
      <x:c r="M158" s="12"/>
      <x:c r="N158" s="12"/>
      <x:c r="O158" s="12"/>
      <x:c r="P158" s="12"/>
      <x:c r="Q158" s="12"/>
      <x:c r="R158" s="13" t="str">
        <x:f>IF(AND(ISNUMBER(A158),ISNUMBER(B158),C158&lt;&gt;"",G158&lt;&gt;""),O158*P158*Q158/1000000,"")</x:f>
      </x:c>
      <x:c r="S158" s="13" t="str">
        <x:f>IF(AND(ISNUMBER(A158),ISNUMBER(B158),C158&lt;&gt;"",G158&lt;&gt;""),K158*R158,"")</x:f>
      </x:c>
      <x:c r="T158" s="13" t="str">
        <x:f>IF(AND(ISNUMBER(A158),ISNUMBER(B158),C158&lt;&gt;"",G158&lt;&gt;""),K158*M158,"")</x:f>
      </x:c>
      <x:c r="U158" s="13" t="str">
        <x:f>IF(AND(ISNUMBER(A158),ISNUMBER(B158),C158&lt;&gt;"",G158&lt;&gt;""),K158*N158,"")</x:f>
      </x:c>
    </x:row>
    <x:row r="159" ht="24" customHeight="1">
      <x:c r="A159" s="10"/>
      <x:c r="B159" s="10"/>
      <x:c r="C159" s="10"/>
      <x:c r="D159" s="11"/>
      <x:c r="E159" s="10"/>
      <x:c r="F159" s="10"/>
      <x:c r="G159" s="10"/>
      <x:c r="H159" s="10"/>
      <x:c r="I159" s="10"/>
      <x:c r="J159" s="9" t="str">
        <x:f>IF(AND(ISNUMBER(A159),ISNUMBER(B159),C159&lt;&gt;"",G159&lt;&gt;""),IF(F159="MULTIPLE PACK",H159*I159,H159),"")</x:f>
      </x:c>
      <x:c r="K159" s="9" t="str">
        <x:f>IF(AND(ISNUMBER(A159),ISNUMBER(B159),C159&lt;&gt;"",G159&lt;&gt;""),IF(COUNTIFS($A$7:A159,A159,$B$7:B159,B159,$C$7:C159,C159,$D$7:D159,D159)=1,B159-A159+1,0),"")</x:f>
      </x:c>
      <x:c r="L159" s="9" t="str">
        <x:f>IF(AND(ISNUMBER(A159),ISNUMBER(B159),C159&lt;&gt;"",G159&lt;&gt;""),(B159-A159+1)*J159,"")</x:f>
      </x:c>
      <x:c r="M159" s="12"/>
      <x:c r="N159" s="12"/>
      <x:c r="O159" s="12"/>
      <x:c r="P159" s="12"/>
      <x:c r="Q159" s="12"/>
      <x:c r="R159" s="13" t="str">
        <x:f>IF(AND(ISNUMBER(A159),ISNUMBER(B159),C159&lt;&gt;"",G159&lt;&gt;""),O159*P159*Q159/1000000,"")</x:f>
      </x:c>
      <x:c r="S159" s="13" t="str">
        <x:f>IF(AND(ISNUMBER(A159),ISNUMBER(B159),C159&lt;&gt;"",G159&lt;&gt;""),K159*R159,"")</x:f>
      </x:c>
      <x:c r="T159" s="13" t="str">
        <x:f>IF(AND(ISNUMBER(A159),ISNUMBER(B159),C159&lt;&gt;"",G159&lt;&gt;""),K159*M159,"")</x:f>
      </x:c>
      <x:c r="U159" s="13" t="str">
        <x:f>IF(AND(ISNUMBER(A159),ISNUMBER(B159),C159&lt;&gt;"",G159&lt;&gt;""),K159*N159,"")</x:f>
      </x:c>
    </x:row>
    <x:row r="160" ht="24" customHeight="1">
      <x:c r="A160" s="10"/>
      <x:c r="B160" s="10"/>
      <x:c r="C160" s="10"/>
      <x:c r="D160" s="11"/>
      <x:c r="E160" s="10"/>
      <x:c r="F160" s="10"/>
      <x:c r="G160" s="10"/>
      <x:c r="H160" s="10"/>
      <x:c r="I160" s="10"/>
      <x:c r="J160" s="9" t="str">
        <x:f>IF(AND(ISNUMBER(A160),ISNUMBER(B160),C160&lt;&gt;"",G160&lt;&gt;""),IF(F160="MULTIPLE PACK",H160*I160,H160),"")</x:f>
      </x:c>
      <x:c r="K160" s="9" t="str">
        <x:f>IF(AND(ISNUMBER(A160),ISNUMBER(B160),C160&lt;&gt;"",G160&lt;&gt;""),IF(COUNTIFS($A$7:A160,A160,$B$7:B160,B160,$C$7:C160,C160,$D$7:D160,D160)=1,B160-A160+1,0),"")</x:f>
      </x:c>
      <x:c r="L160" s="9" t="str">
        <x:f>IF(AND(ISNUMBER(A160),ISNUMBER(B160),C160&lt;&gt;"",G160&lt;&gt;""),(B160-A160+1)*J160,"")</x:f>
      </x:c>
      <x:c r="M160" s="12"/>
      <x:c r="N160" s="12"/>
      <x:c r="O160" s="12"/>
      <x:c r="P160" s="12"/>
      <x:c r="Q160" s="12"/>
      <x:c r="R160" s="13" t="str">
        <x:f>IF(AND(ISNUMBER(A160),ISNUMBER(B160),C160&lt;&gt;"",G160&lt;&gt;""),O160*P160*Q160/1000000,"")</x:f>
      </x:c>
      <x:c r="S160" s="13" t="str">
        <x:f>IF(AND(ISNUMBER(A160),ISNUMBER(B160),C160&lt;&gt;"",G160&lt;&gt;""),K160*R160,"")</x:f>
      </x:c>
      <x:c r="T160" s="13" t="str">
        <x:f>IF(AND(ISNUMBER(A160),ISNUMBER(B160),C160&lt;&gt;"",G160&lt;&gt;""),K160*M160,"")</x:f>
      </x:c>
      <x:c r="U160" s="13" t="str">
        <x:f>IF(AND(ISNUMBER(A160),ISNUMBER(B160),C160&lt;&gt;"",G160&lt;&gt;""),K160*N160,"")</x:f>
      </x:c>
    </x:row>
    <x:row r="161" ht="24" customHeight="1">
      <x:c r="A161" s="10"/>
      <x:c r="B161" s="10"/>
      <x:c r="C161" s="10"/>
      <x:c r="D161" s="11"/>
      <x:c r="E161" s="10"/>
      <x:c r="F161" s="10"/>
      <x:c r="G161" s="10"/>
      <x:c r="H161" s="10"/>
      <x:c r="I161" s="10"/>
      <x:c r="J161" s="9" t="str">
        <x:f>IF(AND(ISNUMBER(A161),ISNUMBER(B161),C161&lt;&gt;"",G161&lt;&gt;""),IF(F161="MULTIPLE PACK",H161*I161,H161),"")</x:f>
      </x:c>
      <x:c r="K161" s="9" t="str">
        <x:f>IF(AND(ISNUMBER(A161),ISNUMBER(B161),C161&lt;&gt;"",G161&lt;&gt;""),IF(COUNTIFS($A$7:A161,A161,$B$7:B161,B161,$C$7:C161,C161,$D$7:D161,D161)=1,B161-A161+1,0),"")</x:f>
      </x:c>
      <x:c r="L161" s="9" t="str">
        <x:f>IF(AND(ISNUMBER(A161),ISNUMBER(B161),C161&lt;&gt;"",G161&lt;&gt;""),(B161-A161+1)*J161,"")</x:f>
      </x:c>
      <x:c r="M161" s="12"/>
      <x:c r="N161" s="12"/>
      <x:c r="O161" s="12"/>
      <x:c r="P161" s="12"/>
      <x:c r="Q161" s="12"/>
      <x:c r="R161" s="13" t="str">
        <x:f>IF(AND(ISNUMBER(A161),ISNUMBER(B161),C161&lt;&gt;"",G161&lt;&gt;""),O161*P161*Q161/1000000,"")</x:f>
      </x:c>
      <x:c r="S161" s="13" t="str">
        <x:f>IF(AND(ISNUMBER(A161),ISNUMBER(B161),C161&lt;&gt;"",G161&lt;&gt;""),K161*R161,"")</x:f>
      </x:c>
      <x:c r="T161" s="13" t="str">
        <x:f>IF(AND(ISNUMBER(A161),ISNUMBER(B161),C161&lt;&gt;"",G161&lt;&gt;""),K161*M161,"")</x:f>
      </x:c>
      <x:c r="U161" s="13" t="str">
        <x:f>IF(AND(ISNUMBER(A161),ISNUMBER(B161),C161&lt;&gt;"",G161&lt;&gt;""),K161*N161,"")</x:f>
      </x:c>
    </x:row>
    <x:row r="162" ht="24" customHeight="1">
      <x:c r="A162" s="10"/>
      <x:c r="B162" s="10"/>
      <x:c r="C162" s="10"/>
      <x:c r="D162" s="11"/>
      <x:c r="E162" s="10"/>
      <x:c r="F162" s="10"/>
      <x:c r="G162" s="10"/>
      <x:c r="H162" s="10"/>
      <x:c r="I162" s="10"/>
      <x:c r="J162" s="9" t="str">
        <x:f>IF(AND(ISNUMBER(A162),ISNUMBER(B162),C162&lt;&gt;"",G162&lt;&gt;""),IF(F162="MULTIPLE PACK",H162*I162,H162),"")</x:f>
      </x:c>
      <x:c r="K162" s="9" t="str">
        <x:f>IF(AND(ISNUMBER(A162),ISNUMBER(B162),C162&lt;&gt;"",G162&lt;&gt;""),IF(COUNTIFS($A$7:A162,A162,$B$7:B162,B162,$C$7:C162,C162,$D$7:D162,D162)=1,B162-A162+1,0),"")</x:f>
      </x:c>
      <x:c r="L162" s="9" t="str">
        <x:f>IF(AND(ISNUMBER(A162),ISNUMBER(B162),C162&lt;&gt;"",G162&lt;&gt;""),(B162-A162+1)*J162,"")</x:f>
      </x:c>
      <x:c r="M162" s="12"/>
      <x:c r="N162" s="12"/>
      <x:c r="O162" s="12"/>
      <x:c r="P162" s="12"/>
      <x:c r="Q162" s="12"/>
      <x:c r="R162" s="13" t="str">
        <x:f>IF(AND(ISNUMBER(A162),ISNUMBER(B162),C162&lt;&gt;"",G162&lt;&gt;""),O162*P162*Q162/1000000,"")</x:f>
      </x:c>
      <x:c r="S162" s="13" t="str">
        <x:f>IF(AND(ISNUMBER(A162),ISNUMBER(B162),C162&lt;&gt;"",G162&lt;&gt;""),K162*R162,"")</x:f>
      </x:c>
      <x:c r="T162" s="13" t="str">
        <x:f>IF(AND(ISNUMBER(A162),ISNUMBER(B162),C162&lt;&gt;"",G162&lt;&gt;""),K162*M162,"")</x:f>
      </x:c>
      <x:c r="U162" s="13" t="str">
        <x:f>IF(AND(ISNUMBER(A162),ISNUMBER(B162),C162&lt;&gt;"",G162&lt;&gt;""),K162*N162,"")</x:f>
      </x:c>
    </x:row>
    <x:row r="163" ht="24" customHeight="1">
      <x:c r="A163" s="10"/>
      <x:c r="B163" s="10"/>
      <x:c r="C163" s="10"/>
      <x:c r="D163" s="11"/>
      <x:c r="E163" s="10"/>
      <x:c r="F163" s="10"/>
      <x:c r="G163" s="10"/>
      <x:c r="H163" s="10"/>
      <x:c r="I163" s="10"/>
      <x:c r="J163" s="9" t="str">
        <x:f>IF(AND(ISNUMBER(A163),ISNUMBER(B163),C163&lt;&gt;"",G163&lt;&gt;""),IF(F163="MULTIPLE PACK",H163*I163,H163),"")</x:f>
      </x:c>
      <x:c r="K163" s="9" t="str">
        <x:f>IF(AND(ISNUMBER(A163),ISNUMBER(B163),C163&lt;&gt;"",G163&lt;&gt;""),IF(COUNTIFS($A$7:A163,A163,$B$7:B163,B163,$C$7:C163,C163,$D$7:D163,D163)=1,B163-A163+1,0),"")</x:f>
      </x:c>
      <x:c r="L163" s="9" t="str">
        <x:f>IF(AND(ISNUMBER(A163),ISNUMBER(B163),C163&lt;&gt;"",G163&lt;&gt;""),(B163-A163+1)*J163,"")</x:f>
      </x:c>
      <x:c r="M163" s="12"/>
      <x:c r="N163" s="12"/>
      <x:c r="O163" s="12"/>
      <x:c r="P163" s="12"/>
      <x:c r="Q163" s="12"/>
      <x:c r="R163" s="13" t="str">
        <x:f>IF(AND(ISNUMBER(A163),ISNUMBER(B163),C163&lt;&gt;"",G163&lt;&gt;""),O163*P163*Q163/1000000,"")</x:f>
      </x:c>
      <x:c r="S163" s="13" t="str">
        <x:f>IF(AND(ISNUMBER(A163),ISNUMBER(B163),C163&lt;&gt;"",G163&lt;&gt;""),K163*R163,"")</x:f>
      </x:c>
      <x:c r="T163" s="13" t="str">
        <x:f>IF(AND(ISNUMBER(A163),ISNUMBER(B163),C163&lt;&gt;"",G163&lt;&gt;""),K163*M163,"")</x:f>
      </x:c>
      <x:c r="U163" s="13" t="str">
        <x:f>IF(AND(ISNUMBER(A163),ISNUMBER(B163),C163&lt;&gt;"",G163&lt;&gt;""),K163*N163,"")</x:f>
      </x:c>
    </x:row>
    <x:row r="164" ht="24" customHeight="1">
      <x:c r="A164" s="10"/>
      <x:c r="B164" s="10"/>
      <x:c r="C164" s="10"/>
      <x:c r="D164" s="11"/>
      <x:c r="E164" s="10"/>
      <x:c r="F164" s="10"/>
      <x:c r="G164" s="10"/>
      <x:c r="H164" s="10"/>
      <x:c r="I164" s="10"/>
      <x:c r="J164" s="9" t="str">
        <x:f>IF(AND(ISNUMBER(A164),ISNUMBER(B164),C164&lt;&gt;"",G164&lt;&gt;""),IF(F164="MULTIPLE PACK",H164*I164,H164),"")</x:f>
      </x:c>
      <x:c r="K164" s="9" t="str">
        <x:f>IF(AND(ISNUMBER(A164),ISNUMBER(B164),C164&lt;&gt;"",G164&lt;&gt;""),IF(COUNTIFS($A$7:A164,A164,$B$7:B164,B164,$C$7:C164,C164,$D$7:D164,D164)=1,B164-A164+1,0),"")</x:f>
      </x:c>
      <x:c r="L164" s="9" t="str">
        <x:f>IF(AND(ISNUMBER(A164),ISNUMBER(B164),C164&lt;&gt;"",G164&lt;&gt;""),(B164-A164+1)*J164,"")</x:f>
      </x:c>
      <x:c r="M164" s="12"/>
      <x:c r="N164" s="12"/>
      <x:c r="O164" s="12"/>
      <x:c r="P164" s="12"/>
      <x:c r="Q164" s="12"/>
      <x:c r="R164" s="13" t="str">
        <x:f>IF(AND(ISNUMBER(A164),ISNUMBER(B164),C164&lt;&gt;"",G164&lt;&gt;""),O164*P164*Q164/1000000,"")</x:f>
      </x:c>
      <x:c r="S164" s="13" t="str">
        <x:f>IF(AND(ISNUMBER(A164),ISNUMBER(B164),C164&lt;&gt;"",G164&lt;&gt;""),K164*R164,"")</x:f>
      </x:c>
      <x:c r="T164" s="13" t="str">
        <x:f>IF(AND(ISNUMBER(A164),ISNUMBER(B164),C164&lt;&gt;"",G164&lt;&gt;""),K164*M164,"")</x:f>
      </x:c>
      <x:c r="U164" s="13" t="str">
        <x:f>IF(AND(ISNUMBER(A164),ISNUMBER(B164),C164&lt;&gt;"",G164&lt;&gt;""),K164*N164,"")</x:f>
      </x:c>
    </x:row>
    <x:row r="165" ht="24" customHeight="1">
      <x:c r="A165" s="10"/>
      <x:c r="B165" s="10"/>
      <x:c r="C165" s="10"/>
      <x:c r="D165" s="11"/>
      <x:c r="E165" s="10"/>
      <x:c r="F165" s="10"/>
      <x:c r="G165" s="10"/>
      <x:c r="H165" s="10"/>
      <x:c r="I165" s="10"/>
      <x:c r="J165" s="9" t="str">
        <x:f>IF(AND(ISNUMBER(A165),ISNUMBER(B165),C165&lt;&gt;"",G165&lt;&gt;""),IF(F165="MULTIPLE PACK",H165*I165,H165),"")</x:f>
      </x:c>
      <x:c r="K165" s="9" t="str">
        <x:f>IF(AND(ISNUMBER(A165),ISNUMBER(B165),C165&lt;&gt;"",G165&lt;&gt;""),IF(COUNTIFS($A$7:A165,A165,$B$7:B165,B165,$C$7:C165,C165,$D$7:D165,D165)=1,B165-A165+1,0),"")</x:f>
      </x:c>
      <x:c r="L165" s="9" t="str">
        <x:f>IF(AND(ISNUMBER(A165),ISNUMBER(B165),C165&lt;&gt;"",G165&lt;&gt;""),(B165-A165+1)*J165,"")</x:f>
      </x:c>
      <x:c r="M165" s="12"/>
      <x:c r="N165" s="12"/>
      <x:c r="O165" s="12"/>
      <x:c r="P165" s="12"/>
      <x:c r="Q165" s="12"/>
      <x:c r="R165" s="13" t="str">
        <x:f>IF(AND(ISNUMBER(A165),ISNUMBER(B165),C165&lt;&gt;"",G165&lt;&gt;""),O165*P165*Q165/1000000,"")</x:f>
      </x:c>
      <x:c r="S165" s="13" t="str">
        <x:f>IF(AND(ISNUMBER(A165),ISNUMBER(B165),C165&lt;&gt;"",G165&lt;&gt;""),K165*R165,"")</x:f>
      </x:c>
      <x:c r="T165" s="13" t="str">
        <x:f>IF(AND(ISNUMBER(A165),ISNUMBER(B165),C165&lt;&gt;"",G165&lt;&gt;""),K165*M165,"")</x:f>
      </x:c>
      <x:c r="U165" s="13" t="str">
        <x:f>IF(AND(ISNUMBER(A165),ISNUMBER(B165),C165&lt;&gt;"",G165&lt;&gt;""),K165*N165,"")</x:f>
      </x:c>
    </x:row>
    <x:row r="166" ht="24" customHeight="1">
      <x:c r="A166" s="10"/>
      <x:c r="B166" s="10"/>
      <x:c r="C166" s="10"/>
      <x:c r="D166" s="11"/>
      <x:c r="E166" s="10"/>
      <x:c r="F166" s="10"/>
      <x:c r="G166" s="10"/>
      <x:c r="H166" s="10"/>
      <x:c r="I166" s="10"/>
      <x:c r="J166" s="9" t="str">
        <x:f>IF(AND(ISNUMBER(A166),ISNUMBER(B166),C166&lt;&gt;"",G166&lt;&gt;""),IF(F166="MULTIPLE PACK",H166*I166,H166),"")</x:f>
      </x:c>
      <x:c r="K166" s="9" t="str">
        <x:f>IF(AND(ISNUMBER(A166),ISNUMBER(B166),C166&lt;&gt;"",G166&lt;&gt;""),IF(COUNTIFS($A$7:A166,A166,$B$7:B166,B166,$C$7:C166,C166,$D$7:D166,D166)=1,B166-A166+1,0),"")</x:f>
      </x:c>
      <x:c r="L166" s="9" t="str">
        <x:f>IF(AND(ISNUMBER(A166),ISNUMBER(B166),C166&lt;&gt;"",G166&lt;&gt;""),(B166-A166+1)*J166,"")</x:f>
      </x:c>
      <x:c r="M166" s="12"/>
      <x:c r="N166" s="12"/>
      <x:c r="O166" s="12"/>
      <x:c r="P166" s="12"/>
      <x:c r="Q166" s="12"/>
      <x:c r="R166" s="13" t="str">
        <x:f>IF(AND(ISNUMBER(A166),ISNUMBER(B166),C166&lt;&gt;"",G166&lt;&gt;""),O166*P166*Q166/1000000,"")</x:f>
      </x:c>
      <x:c r="S166" s="13" t="str">
        <x:f>IF(AND(ISNUMBER(A166),ISNUMBER(B166),C166&lt;&gt;"",G166&lt;&gt;""),K166*R166,"")</x:f>
      </x:c>
      <x:c r="T166" s="13" t="str">
        <x:f>IF(AND(ISNUMBER(A166),ISNUMBER(B166),C166&lt;&gt;"",G166&lt;&gt;""),K166*M166,"")</x:f>
      </x:c>
      <x:c r="U166" s="13" t="str">
        <x:f>IF(AND(ISNUMBER(A166),ISNUMBER(B166),C166&lt;&gt;"",G166&lt;&gt;""),K166*N166,"")</x:f>
      </x:c>
    </x:row>
    <x:row r="167" ht="24" customHeight="1">
      <x:c r="A167" s="10"/>
      <x:c r="B167" s="10"/>
      <x:c r="C167" s="10"/>
      <x:c r="D167" s="11"/>
      <x:c r="E167" s="10"/>
      <x:c r="F167" s="10"/>
      <x:c r="G167" s="10"/>
      <x:c r="H167" s="10"/>
      <x:c r="I167" s="10"/>
      <x:c r="J167" s="9" t="str">
        <x:f>IF(AND(ISNUMBER(A167),ISNUMBER(B167),C167&lt;&gt;"",G167&lt;&gt;""),IF(F167="MULTIPLE PACK",H167*I167,H167),"")</x:f>
      </x:c>
      <x:c r="K167" s="9" t="str">
        <x:f>IF(AND(ISNUMBER(A167),ISNUMBER(B167),C167&lt;&gt;"",G167&lt;&gt;""),IF(COUNTIFS($A$7:A167,A167,$B$7:B167,B167,$C$7:C167,C167,$D$7:D167,D167)=1,B167-A167+1,0),"")</x:f>
      </x:c>
      <x:c r="L167" s="9" t="str">
        <x:f>IF(AND(ISNUMBER(A167),ISNUMBER(B167),C167&lt;&gt;"",G167&lt;&gt;""),(B167-A167+1)*J167,"")</x:f>
      </x:c>
      <x:c r="M167" s="12"/>
      <x:c r="N167" s="12"/>
      <x:c r="O167" s="12"/>
      <x:c r="P167" s="12"/>
      <x:c r="Q167" s="12"/>
      <x:c r="R167" s="13" t="str">
        <x:f>IF(AND(ISNUMBER(A167),ISNUMBER(B167),C167&lt;&gt;"",G167&lt;&gt;""),O167*P167*Q167/1000000,"")</x:f>
      </x:c>
      <x:c r="S167" s="13" t="str">
        <x:f>IF(AND(ISNUMBER(A167),ISNUMBER(B167),C167&lt;&gt;"",G167&lt;&gt;""),K167*R167,"")</x:f>
      </x:c>
      <x:c r="T167" s="13" t="str">
        <x:f>IF(AND(ISNUMBER(A167),ISNUMBER(B167),C167&lt;&gt;"",G167&lt;&gt;""),K167*M167,"")</x:f>
      </x:c>
      <x:c r="U167" s="13" t="str">
        <x:f>IF(AND(ISNUMBER(A167),ISNUMBER(B167),C167&lt;&gt;"",G167&lt;&gt;""),K167*N167,"")</x:f>
      </x:c>
    </x:row>
    <x:row r="168" ht="24" customHeight="1">
      <x:c r="A168" s="10"/>
      <x:c r="B168" s="10"/>
      <x:c r="C168" s="10"/>
      <x:c r="D168" s="11"/>
      <x:c r="E168" s="10"/>
      <x:c r="F168" s="10"/>
      <x:c r="G168" s="10"/>
      <x:c r="H168" s="10"/>
      <x:c r="I168" s="10"/>
      <x:c r="J168" s="9" t="str">
        <x:f>IF(AND(ISNUMBER(A168),ISNUMBER(B168),C168&lt;&gt;"",G168&lt;&gt;""),IF(F168="MULTIPLE PACK",H168*I168,H168),"")</x:f>
      </x:c>
      <x:c r="K168" s="9" t="str">
        <x:f>IF(AND(ISNUMBER(A168),ISNUMBER(B168),C168&lt;&gt;"",G168&lt;&gt;""),IF(COUNTIFS($A$7:A168,A168,$B$7:B168,B168,$C$7:C168,C168,$D$7:D168,D168)=1,B168-A168+1,0),"")</x:f>
      </x:c>
      <x:c r="L168" s="9" t="str">
        <x:f>IF(AND(ISNUMBER(A168),ISNUMBER(B168),C168&lt;&gt;"",G168&lt;&gt;""),(B168-A168+1)*J168,"")</x:f>
      </x:c>
      <x:c r="M168" s="12"/>
      <x:c r="N168" s="12"/>
      <x:c r="O168" s="12"/>
      <x:c r="P168" s="12"/>
      <x:c r="Q168" s="12"/>
      <x:c r="R168" s="13" t="str">
        <x:f>IF(AND(ISNUMBER(A168),ISNUMBER(B168),C168&lt;&gt;"",G168&lt;&gt;""),O168*P168*Q168/1000000,"")</x:f>
      </x:c>
      <x:c r="S168" s="13" t="str">
        <x:f>IF(AND(ISNUMBER(A168),ISNUMBER(B168),C168&lt;&gt;"",G168&lt;&gt;""),K168*R168,"")</x:f>
      </x:c>
      <x:c r="T168" s="13" t="str">
        <x:f>IF(AND(ISNUMBER(A168),ISNUMBER(B168),C168&lt;&gt;"",G168&lt;&gt;""),K168*M168,"")</x:f>
      </x:c>
      <x:c r="U168" s="13" t="str">
        <x:f>IF(AND(ISNUMBER(A168),ISNUMBER(B168),C168&lt;&gt;"",G168&lt;&gt;""),K168*N168,"")</x:f>
      </x:c>
    </x:row>
    <x:row r="169" ht="24" customHeight="1">
      <x:c r="A169" s="10"/>
      <x:c r="B169" s="10"/>
      <x:c r="C169" s="10"/>
      <x:c r="D169" s="11"/>
      <x:c r="E169" s="10"/>
      <x:c r="F169" s="10"/>
      <x:c r="G169" s="10"/>
      <x:c r="H169" s="10"/>
      <x:c r="I169" s="10"/>
      <x:c r="J169" s="9" t="str">
        <x:f>IF(AND(ISNUMBER(A169),ISNUMBER(B169),C169&lt;&gt;"",G169&lt;&gt;""),IF(F169="MULTIPLE PACK",H169*I169,H169),"")</x:f>
      </x:c>
      <x:c r="K169" s="9" t="str">
        <x:f>IF(AND(ISNUMBER(A169),ISNUMBER(B169),C169&lt;&gt;"",G169&lt;&gt;""),IF(COUNTIFS($A$7:A169,A169,$B$7:B169,B169,$C$7:C169,C169,$D$7:D169,D169)=1,B169-A169+1,0),"")</x:f>
      </x:c>
      <x:c r="L169" s="9" t="str">
        <x:f>IF(AND(ISNUMBER(A169),ISNUMBER(B169),C169&lt;&gt;"",G169&lt;&gt;""),(B169-A169+1)*J169,"")</x:f>
      </x:c>
      <x:c r="M169" s="12"/>
      <x:c r="N169" s="12"/>
      <x:c r="O169" s="12"/>
      <x:c r="P169" s="12"/>
      <x:c r="Q169" s="12"/>
      <x:c r="R169" s="13" t="str">
        <x:f>IF(AND(ISNUMBER(A169),ISNUMBER(B169),C169&lt;&gt;"",G169&lt;&gt;""),O169*P169*Q169/1000000,"")</x:f>
      </x:c>
      <x:c r="S169" s="13" t="str">
        <x:f>IF(AND(ISNUMBER(A169),ISNUMBER(B169),C169&lt;&gt;"",G169&lt;&gt;""),K169*R169,"")</x:f>
      </x:c>
      <x:c r="T169" s="13" t="str">
        <x:f>IF(AND(ISNUMBER(A169),ISNUMBER(B169),C169&lt;&gt;"",G169&lt;&gt;""),K169*M169,"")</x:f>
      </x:c>
      <x:c r="U169" s="13" t="str">
        <x:f>IF(AND(ISNUMBER(A169),ISNUMBER(B169),C169&lt;&gt;"",G169&lt;&gt;""),K169*N169,"")</x:f>
      </x:c>
    </x:row>
    <x:row r="170" ht="24" customHeight="1">
      <x:c r="A170" s="10"/>
      <x:c r="B170" s="10"/>
      <x:c r="C170" s="10"/>
      <x:c r="D170" s="11"/>
      <x:c r="E170" s="10"/>
      <x:c r="F170" s="10"/>
      <x:c r="G170" s="10"/>
      <x:c r="H170" s="10"/>
      <x:c r="I170" s="10"/>
      <x:c r="J170" s="9" t="str">
        <x:f>IF(AND(ISNUMBER(A170),ISNUMBER(B170),C170&lt;&gt;"",G170&lt;&gt;""),IF(F170="MULTIPLE PACK",H170*I170,H170),"")</x:f>
      </x:c>
      <x:c r="K170" s="9" t="str">
        <x:f>IF(AND(ISNUMBER(A170),ISNUMBER(B170),C170&lt;&gt;"",G170&lt;&gt;""),IF(COUNTIFS($A$7:A170,A170,$B$7:B170,B170,$C$7:C170,C170,$D$7:D170,D170)=1,B170-A170+1,0),"")</x:f>
      </x:c>
      <x:c r="L170" s="9" t="str">
        <x:f>IF(AND(ISNUMBER(A170),ISNUMBER(B170),C170&lt;&gt;"",G170&lt;&gt;""),(B170-A170+1)*J170,"")</x:f>
      </x:c>
      <x:c r="M170" s="12"/>
      <x:c r="N170" s="12"/>
      <x:c r="O170" s="12"/>
      <x:c r="P170" s="12"/>
      <x:c r="Q170" s="12"/>
      <x:c r="R170" s="13" t="str">
        <x:f>IF(AND(ISNUMBER(A170),ISNUMBER(B170),C170&lt;&gt;"",G170&lt;&gt;""),O170*P170*Q170/1000000,"")</x:f>
      </x:c>
      <x:c r="S170" s="13" t="str">
        <x:f>IF(AND(ISNUMBER(A170),ISNUMBER(B170),C170&lt;&gt;"",G170&lt;&gt;""),K170*R170,"")</x:f>
      </x:c>
      <x:c r="T170" s="13" t="str">
        <x:f>IF(AND(ISNUMBER(A170),ISNUMBER(B170),C170&lt;&gt;"",G170&lt;&gt;""),K170*M170,"")</x:f>
      </x:c>
      <x:c r="U170" s="13" t="str">
        <x:f>IF(AND(ISNUMBER(A170),ISNUMBER(B170),C170&lt;&gt;"",G170&lt;&gt;""),K170*N170,"")</x:f>
      </x:c>
    </x:row>
    <x:row r="171" ht="24" customHeight="1">
      <x:c r="A171" s="10"/>
      <x:c r="B171" s="10"/>
      <x:c r="C171" s="10"/>
      <x:c r="D171" s="11"/>
      <x:c r="E171" s="10"/>
      <x:c r="F171" s="10"/>
      <x:c r="G171" s="10"/>
      <x:c r="H171" s="10"/>
      <x:c r="I171" s="10"/>
      <x:c r="J171" s="9" t="str">
        <x:f>IF(AND(ISNUMBER(A171),ISNUMBER(B171),C171&lt;&gt;"",G171&lt;&gt;""),IF(F171="MULTIPLE PACK",H171*I171,H171),"")</x:f>
      </x:c>
      <x:c r="K171" s="9" t="str">
        <x:f>IF(AND(ISNUMBER(A171),ISNUMBER(B171),C171&lt;&gt;"",G171&lt;&gt;""),IF(COUNTIFS($A$7:A171,A171,$B$7:B171,B171,$C$7:C171,C171,$D$7:D171,D171)=1,B171-A171+1,0),"")</x:f>
      </x:c>
      <x:c r="L171" s="9" t="str">
        <x:f>IF(AND(ISNUMBER(A171),ISNUMBER(B171),C171&lt;&gt;"",G171&lt;&gt;""),(B171-A171+1)*J171,"")</x:f>
      </x:c>
      <x:c r="M171" s="12"/>
      <x:c r="N171" s="12"/>
      <x:c r="O171" s="12"/>
      <x:c r="P171" s="12"/>
      <x:c r="Q171" s="12"/>
      <x:c r="R171" s="13" t="str">
        <x:f>IF(AND(ISNUMBER(A171),ISNUMBER(B171),C171&lt;&gt;"",G171&lt;&gt;""),O171*P171*Q171/1000000,"")</x:f>
      </x:c>
      <x:c r="S171" s="13" t="str">
        <x:f>IF(AND(ISNUMBER(A171),ISNUMBER(B171),C171&lt;&gt;"",G171&lt;&gt;""),K171*R171,"")</x:f>
      </x:c>
      <x:c r="T171" s="13" t="str">
        <x:f>IF(AND(ISNUMBER(A171),ISNUMBER(B171),C171&lt;&gt;"",G171&lt;&gt;""),K171*M171,"")</x:f>
      </x:c>
      <x:c r="U171" s="13" t="str">
        <x:f>IF(AND(ISNUMBER(A171),ISNUMBER(B171),C171&lt;&gt;"",G171&lt;&gt;""),K171*N171,"")</x:f>
      </x:c>
    </x:row>
    <x:row r="172" ht="24" customHeight="1">
      <x:c r="A172" s="10"/>
      <x:c r="B172" s="10"/>
      <x:c r="C172" s="10"/>
      <x:c r="D172" s="11"/>
      <x:c r="E172" s="10"/>
      <x:c r="F172" s="10"/>
      <x:c r="G172" s="10"/>
      <x:c r="H172" s="10"/>
      <x:c r="I172" s="10"/>
      <x:c r="J172" s="9" t="str">
        <x:f>IF(AND(ISNUMBER(A172),ISNUMBER(B172),C172&lt;&gt;"",G172&lt;&gt;""),IF(F172="MULTIPLE PACK",H172*I172,H172),"")</x:f>
      </x:c>
      <x:c r="K172" s="9" t="str">
        <x:f>IF(AND(ISNUMBER(A172),ISNUMBER(B172),C172&lt;&gt;"",G172&lt;&gt;""),IF(COUNTIFS($A$7:A172,A172,$B$7:B172,B172,$C$7:C172,C172,$D$7:D172,D172)=1,B172-A172+1,0),"")</x:f>
      </x:c>
      <x:c r="L172" s="9" t="str">
        <x:f>IF(AND(ISNUMBER(A172),ISNUMBER(B172),C172&lt;&gt;"",G172&lt;&gt;""),(B172-A172+1)*J172,"")</x:f>
      </x:c>
      <x:c r="M172" s="12"/>
      <x:c r="N172" s="12"/>
      <x:c r="O172" s="12"/>
      <x:c r="P172" s="12"/>
      <x:c r="Q172" s="12"/>
      <x:c r="R172" s="13" t="str">
        <x:f>IF(AND(ISNUMBER(A172),ISNUMBER(B172),C172&lt;&gt;"",G172&lt;&gt;""),O172*P172*Q172/1000000,"")</x:f>
      </x:c>
      <x:c r="S172" s="13" t="str">
        <x:f>IF(AND(ISNUMBER(A172),ISNUMBER(B172),C172&lt;&gt;"",G172&lt;&gt;""),K172*R172,"")</x:f>
      </x:c>
      <x:c r="T172" s="13" t="str">
        <x:f>IF(AND(ISNUMBER(A172),ISNUMBER(B172),C172&lt;&gt;"",G172&lt;&gt;""),K172*M172,"")</x:f>
      </x:c>
      <x:c r="U172" s="13" t="str">
        <x:f>IF(AND(ISNUMBER(A172),ISNUMBER(B172),C172&lt;&gt;"",G172&lt;&gt;""),K172*N172,"")</x:f>
      </x:c>
    </x:row>
    <x:row r="173" ht="24" customHeight="1">
      <x:c r="A173" s="10"/>
      <x:c r="B173" s="10"/>
      <x:c r="C173" s="10"/>
      <x:c r="D173" s="11"/>
      <x:c r="E173" s="10"/>
      <x:c r="F173" s="10"/>
      <x:c r="G173" s="10"/>
      <x:c r="H173" s="10"/>
      <x:c r="I173" s="10"/>
      <x:c r="J173" s="9" t="str">
        <x:f>IF(AND(ISNUMBER(A173),ISNUMBER(B173),C173&lt;&gt;"",G173&lt;&gt;""),IF(F173="MULTIPLE PACK",H173*I173,H173),"")</x:f>
      </x:c>
      <x:c r="K173" s="9" t="str">
        <x:f>IF(AND(ISNUMBER(A173),ISNUMBER(B173),C173&lt;&gt;"",G173&lt;&gt;""),IF(COUNTIFS($A$7:A173,A173,$B$7:B173,B173,$C$7:C173,C173,$D$7:D173,D173)=1,B173-A173+1,0),"")</x:f>
      </x:c>
      <x:c r="L173" s="9" t="str">
        <x:f>IF(AND(ISNUMBER(A173),ISNUMBER(B173),C173&lt;&gt;"",G173&lt;&gt;""),(B173-A173+1)*J173,"")</x:f>
      </x:c>
      <x:c r="M173" s="12"/>
      <x:c r="N173" s="12"/>
      <x:c r="O173" s="12"/>
      <x:c r="P173" s="12"/>
      <x:c r="Q173" s="12"/>
      <x:c r="R173" s="13" t="str">
        <x:f>IF(AND(ISNUMBER(A173),ISNUMBER(B173),C173&lt;&gt;"",G173&lt;&gt;""),O173*P173*Q173/1000000,"")</x:f>
      </x:c>
      <x:c r="S173" s="13" t="str">
        <x:f>IF(AND(ISNUMBER(A173),ISNUMBER(B173),C173&lt;&gt;"",G173&lt;&gt;""),K173*R173,"")</x:f>
      </x:c>
      <x:c r="T173" s="13" t="str">
        <x:f>IF(AND(ISNUMBER(A173),ISNUMBER(B173),C173&lt;&gt;"",G173&lt;&gt;""),K173*M173,"")</x:f>
      </x:c>
      <x:c r="U173" s="13" t="str">
        <x:f>IF(AND(ISNUMBER(A173),ISNUMBER(B173),C173&lt;&gt;"",G173&lt;&gt;""),K173*N173,"")</x:f>
      </x:c>
    </x:row>
    <x:row r="174" ht="24" customHeight="1">
      <x:c r="A174" s="10"/>
      <x:c r="B174" s="10"/>
      <x:c r="C174" s="10"/>
      <x:c r="D174" s="11"/>
      <x:c r="E174" s="10"/>
      <x:c r="F174" s="10"/>
      <x:c r="G174" s="10"/>
      <x:c r="H174" s="10"/>
      <x:c r="I174" s="10"/>
      <x:c r="J174" s="9" t="str">
        <x:f>IF(AND(ISNUMBER(A174),ISNUMBER(B174),C174&lt;&gt;"",G174&lt;&gt;""),IF(F174="MULTIPLE PACK",H174*I174,H174),"")</x:f>
      </x:c>
      <x:c r="K174" s="9" t="str">
        <x:f>IF(AND(ISNUMBER(A174),ISNUMBER(B174),C174&lt;&gt;"",G174&lt;&gt;""),IF(COUNTIFS($A$7:A174,A174,$B$7:B174,B174,$C$7:C174,C174,$D$7:D174,D174)=1,B174-A174+1,0),"")</x:f>
      </x:c>
      <x:c r="L174" s="9" t="str">
        <x:f>IF(AND(ISNUMBER(A174),ISNUMBER(B174),C174&lt;&gt;"",G174&lt;&gt;""),(B174-A174+1)*J174,"")</x:f>
      </x:c>
      <x:c r="M174" s="12"/>
      <x:c r="N174" s="12"/>
      <x:c r="O174" s="12"/>
      <x:c r="P174" s="12"/>
      <x:c r="Q174" s="12"/>
      <x:c r="R174" s="13" t="str">
        <x:f>IF(AND(ISNUMBER(A174),ISNUMBER(B174),C174&lt;&gt;"",G174&lt;&gt;""),O174*P174*Q174/1000000,"")</x:f>
      </x:c>
      <x:c r="S174" s="13" t="str">
        <x:f>IF(AND(ISNUMBER(A174),ISNUMBER(B174),C174&lt;&gt;"",G174&lt;&gt;""),K174*R174,"")</x:f>
      </x:c>
      <x:c r="T174" s="13" t="str">
        <x:f>IF(AND(ISNUMBER(A174),ISNUMBER(B174),C174&lt;&gt;"",G174&lt;&gt;""),K174*M174,"")</x:f>
      </x:c>
      <x:c r="U174" s="13" t="str">
        <x:f>IF(AND(ISNUMBER(A174),ISNUMBER(B174),C174&lt;&gt;"",G174&lt;&gt;""),K174*N174,"")</x:f>
      </x:c>
    </x:row>
    <x:row r="175" ht="24" customHeight="1">
      <x:c r="A175" s="10"/>
      <x:c r="B175" s="10"/>
      <x:c r="C175" s="10"/>
      <x:c r="D175" s="11"/>
      <x:c r="E175" s="10"/>
      <x:c r="F175" s="10"/>
      <x:c r="G175" s="10"/>
      <x:c r="H175" s="10"/>
      <x:c r="I175" s="10"/>
      <x:c r="J175" s="9" t="str">
        <x:f>IF(AND(ISNUMBER(A175),ISNUMBER(B175),C175&lt;&gt;"",G175&lt;&gt;""),IF(F175="MULTIPLE PACK",H175*I175,H175),"")</x:f>
      </x:c>
      <x:c r="K175" s="9" t="str">
        <x:f>IF(AND(ISNUMBER(A175),ISNUMBER(B175),C175&lt;&gt;"",G175&lt;&gt;""),IF(COUNTIFS($A$7:A175,A175,$B$7:B175,B175,$C$7:C175,C175,$D$7:D175,D175)=1,B175-A175+1,0),"")</x:f>
      </x:c>
      <x:c r="L175" s="9" t="str">
        <x:f>IF(AND(ISNUMBER(A175),ISNUMBER(B175),C175&lt;&gt;"",G175&lt;&gt;""),(B175-A175+1)*J175,"")</x:f>
      </x:c>
      <x:c r="M175" s="12"/>
      <x:c r="N175" s="12"/>
      <x:c r="O175" s="12"/>
      <x:c r="P175" s="12"/>
      <x:c r="Q175" s="12"/>
      <x:c r="R175" s="13" t="str">
        <x:f>IF(AND(ISNUMBER(A175),ISNUMBER(B175),C175&lt;&gt;"",G175&lt;&gt;""),O175*P175*Q175/1000000,"")</x:f>
      </x:c>
      <x:c r="S175" s="13" t="str">
        <x:f>IF(AND(ISNUMBER(A175),ISNUMBER(B175),C175&lt;&gt;"",G175&lt;&gt;""),K175*R175,"")</x:f>
      </x:c>
      <x:c r="T175" s="13" t="str">
        <x:f>IF(AND(ISNUMBER(A175),ISNUMBER(B175),C175&lt;&gt;"",G175&lt;&gt;""),K175*M175,"")</x:f>
      </x:c>
      <x:c r="U175" s="13" t="str">
        <x:f>IF(AND(ISNUMBER(A175),ISNUMBER(B175),C175&lt;&gt;"",G175&lt;&gt;""),K175*N175,"")</x:f>
      </x:c>
    </x:row>
    <x:row r="176" ht="24" customHeight="1">
      <x:c r="A176" s="10"/>
      <x:c r="B176" s="10"/>
      <x:c r="C176" s="10"/>
      <x:c r="D176" s="11"/>
      <x:c r="E176" s="10"/>
      <x:c r="F176" s="10"/>
      <x:c r="G176" s="10"/>
      <x:c r="H176" s="10"/>
      <x:c r="I176" s="10"/>
      <x:c r="J176" s="9" t="str">
        <x:f>IF(AND(ISNUMBER(A176),ISNUMBER(B176),C176&lt;&gt;"",G176&lt;&gt;""),IF(F176="MULTIPLE PACK",H176*I176,H176),"")</x:f>
      </x:c>
      <x:c r="K176" s="9" t="str">
        <x:f>IF(AND(ISNUMBER(A176),ISNUMBER(B176),C176&lt;&gt;"",G176&lt;&gt;""),IF(COUNTIFS($A$7:A176,A176,$B$7:B176,B176,$C$7:C176,C176,$D$7:D176,D176)=1,B176-A176+1,0),"")</x:f>
      </x:c>
      <x:c r="L176" s="9" t="str">
        <x:f>IF(AND(ISNUMBER(A176),ISNUMBER(B176),C176&lt;&gt;"",G176&lt;&gt;""),(B176-A176+1)*J176,"")</x:f>
      </x:c>
      <x:c r="M176" s="12"/>
      <x:c r="N176" s="12"/>
      <x:c r="O176" s="12"/>
      <x:c r="P176" s="12"/>
      <x:c r="Q176" s="12"/>
      <x:c r="R176" s="13" t="str">
        <x:f>IF(AND(ISNUMBER(A176),ISNUMBER(B176),C176&lt;&gt;"",G176&lt;&gt;""),O176*P176*Q176/1000000,"")</x:f>
      </x:c>
      <x:c r="S176" s="13" t="str">
        <x:f>IF(AND(ISNUMBER(A176),ISNUMBER(B176),C176&lt;&gt;"",G176&lt;&gt;""),K176*R176,"")</x:f>
      </x:c>
      <x:c r="T176" s="13" t="str">
        <x:f>IF(AND(ISNUMBER(A176),ISNUMBER(B176),C176&lt;&gt;"",G176&lt;&gt;""),K176*M176,"")</x:f>
      </x:c>
      <x:c r="U176" s="13" t="str">
        <x:f>IF(AND(ISNUMBER(A176),ISNUMBER(B176),C176&lt;&gt;"",G176&lt;&gt;""),K176*N176,"")</x:f>
      </x:c>
    </x:row>
    <x:row r="177" ht="24" customHeight="1">
      <x:c r="A177" s="10"/>
      <x:c r="B177" s="10"/>
      <x:c r="C177" s="10"/>
      <x:c r="D177" s="11"/>
      <x:c r="E177" s="10"/>
      <x:c r="F177" s="10"/>
      <x:c r="G177" s="10"/>
      <x:c r="H177" s="10"/>
      <x:c r="I177" s="10"/>
      <x:c r="J177" s="9" t="str">
        <x:f>IF(AND(ISNUMBER(A177),ISNUMBER(B177),C177&lt;&gt;"",G177&lt;&gt;""),IF(F177="MULTIPLE PACK",H177*I177,H177),"")</x:f>
      </x:c>
      <x:c r="K177" s="9" t="str">
        <x:f>IF(AND(ISNUMBER(A177),ISNUMBER(B177),C177&lt;&gt;"",G177&lt;&gt;""),IF(COUNTIFS($A$7:A177,A177,$B$7:B177,B177,$C$7:C177,C177,$D$7:D177,D177)=1,B177-A177+1,0),"")</x:f>
      </x:c>
      <x:c r="L177" s="9" t="str">
        <x:f>IF(AND(ISNUMBER(A177),ISNUMBER(B177),C177&lt;&gt;"",G177&lt;&gt;""),(B177-A177+1)*J177,"")</x:f>
      </x:c>
      <x:c r="M177" s="12"/>
      <x:c r="N177" s="12"/>
      <x:c r="O177" s="12"/>
      <x:c r="P177" s="12"/>
      <x:c r="Q177" s="12"/>
      <x:c r="R177" s="13" t="str">
        <x:f>IF(AND(ISNUMBER(A177),ISNUMBER(B177),C177&lt;&gt;"",G177&lt;&gt;""),O177*P177*Q177/1000000,"")</x:f>
      </x:c>
      <x:c r="S177" s="13" t="str">
        <x:f>IF(AND(ISNUMBER(A177),ISNUMBER(B177),C177&lt;&gt;"",G177&lt;&gt;""),K177*R177,"")</x:f>
      </x:c>
      <x:c r="T177" s="13" t="str">
        <x:f>IF(AND(ISNUMBER(A177),ISNUMBER(B177),C177&lt;&gt;"",G177&lt;&gt;""),K177*M177,"")</x:f>
      </x:c>
      <x:c r="U177" s="13" t="str">
        <x:f>IF(AND(ISNUMBER(A177),ISNUMBER(B177),C177&lt;&gt;"",G177&lt;&gt;""),K177*N177,"")</x:f>
      </x:c>
    </x:row>
    <x:row r="178" ht="24" customHeight="1">
      <x:c r="A178" s="10"/>
      <x:c r="B178" s="10"/>
      <x:c r="C178" s="10"/>
      <x:c r="D178" s="11"/>
      <x:c r="E178" s="10"/>
      <x:c r="F178" s="10"/>
      <x:c r="G178" s="10"/>
      <x:c r="H178" s="10"/>
      <x:c r="I178" s="10"/>
      <x:c r="J178" s="9" t="str">
        <x:f>IF(AND(ISNUMBER(A178),ISNUMBER(B178),C178&lt;&gt;"",G178&lt;&gt;""),IF(F178="MULTIPLE PACK",H178*I178,H178),"")</x:f>
      </x:c>
      <x:c r="K178" s="9" t="str">
        <x:f>IF(AND(ISNUMBER(A178),ISNUMBER(B178),C178&lt;&gt;"",G178&lt;&gt;""),IF(COUNTIFS($A$7:A178,A178,$B$7:B178,B178,$C$7:C178,C178,$D$7:D178,D178)=1,B178-A178+1,0),"")</x:f>
      </x:c>
      <x:c r="L178" s="9" t="str">
        <x:f>IF(AND(ISNUMBER(A178),ISNUMBER(B178),C178&lt;&gt;"",G178&lt;&gt;""),(B178-A178+1)*J178,"")</x:f>
      </x:c>
      <x:c r="M178" s="12"/>
      <x:c r="N178" s="12"/>
      <x:c r="O178" s="12"/>
      <x:c r="P178" s="12"/>
      <x:c r="Q178" s="12"/>
      <x:c r="R178" s="13" t="str">
        <x:f>IF(AND(ISNUMBER(A178),ISNUMBER(B178),C178&lt;&gt;"",G178&lt;&gt;""),O178*P178*Q178/1000000,"")</x:f>
      </x:c>
      <x:c r="S178" s="13" t="str">
        <x:f>IF(AND(ISNUMBER(A178),ISNUMBER(B178),C178&lt;&gt;"",G178&lt;&gt;""),K178*R178,"")</x:f>
      </x:c>
      <x:c r="T178" s="13" t="str">
        <x:f>IF(AND(ISNUMBER(A178),ISNUMBER(B178),C178&lt;&gt;"",G178&lt;&gt;""),K178*M178,"")</x:f>
      </x:c>
      <x:c r="U178" s="13" t="str">
        <x:f>IF(AND(ISNUMBER(A178),ISNUMBER(B178),C178&lt;&gt;"",G178&lt;&gt;""),K178*N178,"")</x:f>
      </x:c>
    </x:row>
    <x:row r="179" ht="24" customHeight="1">
      <x:c r="A179" s="10"/>
      <x:c r="B179" s="10"/>
      <x:c r="C179" s="10"/>
      <x:c r="D179" s="11"/>
      <x:c r="E179" s="10"/>
      <x:c r="F179" s="10"/>
      <x:c r="G179" s="10"/>
      <x:c r="H179" s="10"/>
      <x:c r="I179" s="10"/>
      <x:c r="J179" s="9" t="str">
        <x:f>IF(AND(ISNUMBER(A179),ISNUMBER(B179),C179&lt;&gt;"",G179&lt;&gt;""),IF(F179="MULTIPLE PACK",H179*I179,H179),"")</x:f>
      </x:c>
      <x:c r="K179" s="9" t="str">
        <x:f>IF(AND(ISNUMBER(A179),ISNUMBER(B179),C179&lt;&gt;"",G179&lt;&gt;""),IF(COUNTIFS($A$7:A179,A179,$B$7:B179,B179,$C$7:C179,C179,$D$7:D179,D179)=1,B179-A179+1,0),"")</x:f>
      </x:c>
      <x:c r="L179" s="9" t="str">
        <x:f>IF(AND(ISNUMBER(A179),ISNUMBER(B179),C179&lt;&gt;"",G179&lt;&gt;""),(B179-A179+1)*J179,"")</x:f>
      </x:c>
      <x:c r="M179" s="12"/>
      <x:c r="N179" s="12"/>
      <x:c r="O179" s="12"/>
      <x:c r="P179" s="12"/>
      <x:c r="Q179" s="12"/>
      <x:c r="R179" s="13" t="str">
        <x:f>IF(AND(ISNUMBER(A179),ISNUMBER(B179),C179&lt;&gt;"",G179&lt;&gt;""),O179*P179*Q179/1000000,"")</x:f>
      </x:c>
      <x:c r="S179" s="13" t="str">
        <x:f>IF(AND(ISNUMBER(A179),ISNUMBER(B179),C179&lt;&gt;"",G179&lt;&gt;""),K179*R179,"")</x:f>
      </x:c>
      <x:c r="T179" s="13" t="str">
        <x:f>IF(AND(ISNUMBER(A179),ISNUMBER(B179),C179&lt;&gt;"",G179&lt;&gt;""),K179*M179,"")</x:f>
      </x:c>
      <x:c r="U179" s="13" t="str">
        <x:f>IF(AND(ISNUMBER(A179),ISNUMBER(B179),C179&lt;&gt;"",G179&lt;&gt;""),K179*N179,"")</x:f>
      </x:c>
    </x:row>
    <x:row r="180" ht="24" customHeight="1">
      <x:c r="A180" s="10"/>
      <x:c r="B180" s="10"/>
      <x:c r="C180" s="10"/>
      <x:c r="D180" s="11"/>
      <x:c r="E180" s="10"/>
      <x:c r="F180" s="10"/>
      <x:c r="G180" s="10"/>
      <x:c r="H180" s="10"/>
      <x:c r="I180" s="10"/>
      <x:c r="J180" s="9" t="str">
        <x:f>IF(AND(ISNUMBER(A180),ISNUMBER(B180),C180&lt;&gt;"",G180&lt;&gt;""),IF(F180="MULTIPLE PACK",H180*I180,H180),"")</x:f>
      </x:c>
      <x:c r="K180" s="9" t="str">
        <x:f>IF(AND(ISNUMBER(A180),ISNUMBER(B180),C180&lt;&gt;"",G180&lt;&gt;""),IF(COUNTIFS($A$7:A180,A180,$B$7:B180,B180,$C$7:C180,C180,$D$7:D180,D180)=1,B180-A180+1,0),"")</x:f>
      </x:c>
      <x:c r="L180" s="9" t="str">
        <x:f>IF(AND(ISNUMBER(A180),ISNUMBER(B180),C180&lt;&gt;"",G180&lt;&gt;""),(B180-A180+1)*J180,"")</x:f>
      </x:c>
      <x:c r="M180" s="12"/>
      <x:c r="N180" s="12"/>
      <x:c r="O180" s="12"/>
      <x:c r="P180" s="12"/>
      <x:c r="Q180" s="12"/>
      <x:c r="R180" s="13" t="str">
        <x:f>IF(AND(ISNUMBER(A180),ISNUMBER(B180),C180&lt;&gt;"",G180&lt;&gt;""),O180*P180*Q180/1000000,"")</x:f>
      </x:c>
      <x:c r="S180" s="13" t="str">
        <x:f>IF(AND(ISNUMBER(A180),ISNUMBER(B180),C180&lt;&gt;"",G180&lt;&gt;""),K180*R180,"")</x:f>
      </x:c>
      <x:c r="T180" s="13" t="str">
        <x:f>IF(AND(ISNUMBER(A180),ISNUMBER(B180),C180&lt;&gt;"",G180&lt;&gt;""),K180*M180,"")</x:f>
      </x:c>
      <x:c r="U180" s="13" t="str">
        <x:f>IF(AND(ISNUMBER(A180),ISNUMBER(B180),C180&lt;&gt;"",G180&lt;&gt;""),K180*N180,"")</x:f>
      </x:c>
    </x:row>
    <x:row r="181" ht="24" customHeight="1">
      <x:c r="A181" s="10"/>
      <x:c r="B181" s="10"/>
      <x:c r="C181" s="10"/>
      <x:c r="D181" s="11"/>
      <x:c r="E181" s="10"/>
      <x:c r="F181" s="10"/>
      <x:c r="G181" s="10"/>
      <x:c r="H181" s="10"/>
      <x:c r="I181" s="10"/>
      <x:c r="J181" s="9" t="str">
        <x:f>IF(AND(ISNUMBER(A181),ISNUMBER(B181),C181&lt;&gt;"",G181&lt;&gt;""),IF(F181="MULTIPLE PACK",H181*I181,H181),"")</x:f>
      </x:c>
      <x:c r="K181" s="9" t="str">
        <x:f>IF(AND(ISNUMBER(A181),ISNUMBER(B181),C181&lt;&gt;"",G181&lt;&gt;""),IF(COUNTIFS($A$7:A181,A181,$B$7:B181,B181,$C$7:C181,C181,$D$7:D181,D181)=1,B181-A181+1,0),"")</x:f>
      </x:c>
      <x:c r="L181" s="9" t="str">
        <x:f>IF(AND(ISNUMBER(A181),ISNUMBER(B181),C181&lt;&gt;"",G181&lt;&gt;""),(B181-A181+1)*J181,"")</x:f>
      </x:c>
      <x:c r="M181" s="12"/>
      <x:c r="N181" s="12"/>
      <x:c r="O181" s="12"/>
      <x:c r="P181" s="12"/>
      <x:c r="Q181" s="12"/>
      <x:c r="R181" s="13" t="str">
        <x:f>IF(AND(ISNUMBER(A181),ISNUMBER(B181),C181&lt;&gt;"",G181&lt;&gt;""),O181*P181*Q181/1000000,"")</x:f>
      </x:c>
      <x:c r="S181" s="13" t="str">
        <x:f>IF(AND(ISNUMBER(A181),ISNUMBER(B181),C181&lt;&gt;"",G181&lt;&gt;""),K181*R181,"")</x:f>
      </x:c>
      <x:c r="T181" s="13" t="str">
        <x:f>IF(AND(ISNUMBER(A181),ISNUMBER(B181),C181&lt;&gt;"",G181&lt;&gt;""),K181*M181,"")</x:f>
      </x:c>
      <x:c r="U181" s="13" t="str">
        <x:f>IF(AND(ISNUMBER(A181),ISNUMBER(B181),C181&lt;&gt;"",G181&lt;&gt;""),K181*N181,"")</x:f>
      </x:c>
    </x:row>
    <x:row r="182" ht="24" customHeight="1">
      <x:c r="A182" s="10"/>
      <x:c r="B182" s="10"/>
      <x:c r="C182" s="10"/>
      <x:c r="D182" s="11"/>
      <x:c r="E182" s="10"/>
      <x:c r="F182" s="10"/>
      <x:c r="G182" s="10"/>
      <x:c r="H182" s="10"/>
      <x:c r="I182" s="10"/>
      <x:c r="J182" s="9" t="str">
        <x:f>IF(AND(ISNUMBER(A182),ISNUMBER(B182),C182&lt;&gt;"",G182&lt;&gt;""),IF(F182="MULTIPLE PACK",H182*I182,H182),"")</x:f>
      </x:c>
      <x:c r="K182" s="9" t="str">
        <x:f>IF(AND(ISNUMBER(A182),ISNUMBER(B182),C182&lt;&gt;"",G182&lt;&gt;""),IF(COUNTIFS($A$7:A182,A182,$B$7:B182,B182,$C$7:C182,C182,$D$7:D182,D182)=1,B182-A182+1,0),"")</x:f>
      </x:c>
      <x:c r="L182" s="9" t="str">
        <x:f>IF(AND(ISNUMBER(A182),ISNUMBER(B182),C182&lt;&gt;"",G182&lt;&gt;""),(B182-A182+1)*J182,"")</x:f>
      </x:c>
      <x:c r="M182" s="12"/>
      <x:c r="N182" s="12"/>
      <x:c r="O182" s="12"/>
      <x:c r="P182" s="12"/>
      <x:c r="Q182" s="12"/>
      <x:c r="R182" s="13" t="str">
        <x:f>IF(AND(ISNUMBER(A182),ISNUMBER(B182),C182&lt;&gt;"",G182&lt;&gt;""),O182*P182*Q182/1000000,"")</x:f>
      </x:c>
      <x:c r="S182" s="13" t="str">
        <x:f>IF(AND(ISNUMBER(A182),ISNUMBER(B182),C182&lt;&gt;"",G182&lt;&gt;""),K182*R182,"")</x:f>
      </x:c>
      <x:c r="T182" s="13" t="str">
        <x:f>IF(AND(ISNUMBER(A182),ISNUMBER(B182),C182&lt;&gt;"",G182&lt;&gt;""),K182*M182,"")</x:f>
      </x:c>
      <x:c r="U182" s="13" t="str">
        <x:f>IF(AND(ISNUMBER(A182),ISNUMBER(B182),C182&lt;&gt;"",G182&lt;&gt;""),K182*N182,"")</x:f>
      </x:c>
    </x:row>
    <x:row r="183" ht="24" customHeight="1">
      <x:c r="A183" s="10"/>
      <x:c r="B183" s="10"/>
      <x:c r="C183" s="10"/>
      <x:c r="D183" s="11"/>
      <x:c r="E183" s="10"/>
      <x:c r="F183" s="10"/>
      <x:c r="G183" s="10"/>
      <x:c r="H183" s="10"/>
      <x:c r="I183" s="10"/>
      <x:c r="J183" s="9" t="str">
        <x:f>IF(AND(ISNUMBER(A183),ISNUMBER(B183),C183&lt;&gt;"",G183&lt;&gt;""),IF(F183="MULTIPLE PACK",H183*I183,H183),"")</x:f>
      </x:c>
      <x:c r="K183" s="9" t="str">
        <x:f>IF(AND(ISNUMBER(A183),ISNUMBER(B183),C183&lt;&gt;"",G183&lt;&gt;""),IF(COUNTIFS($A$7:A183,A183,$B$7:B183,B183,$C$7:C183,C183,$D$7:D183,D183)=1,B183-A183+1,0),"")</x:f>
      </x:c>
      <x:c r="L183" s="9" t="str">
        <x:f>IF(AND(ISNUMBER(A183),ISNUMBER(B183),C183&lt;&gt;"",G183&lt;&gt;""),(B183-A183+1)*J183,"")</x:f>
      </x:c>
      <x:c r="M183" s="12"/>
      <x:c r="N183" s="12"/>
      <x:c r="O183" s="12"/>
      <x:c r="P183" s="12"/>
      <x:c r="Q183" s="12"/>
      <x:c r="R183" s="13" t="str">
        <x:f>IF(AND(ISNUMBER(A183),ISNUMBER(B183),C183&lt;&gt;"",G183&lt;&gt;""),O183*P183*Q183/1000000,"")</x:f>
      </x:c>
      <x:c r="S183" s="13" t="str">
        <x:f>IF(AND(ISNUMBER(A183),ISNUMBER(B183),C183&lt;&gt;"",G183&lt;&gt;""),K183*R183,"")</x:f>
      </x:c>
      <x:c r="T183" s="13" t="str">
        <x:f>IF(AND(ISNUMBER(A183),ISNUMBER(B183),C183&lt;&gt;"",G183&lt;&gt;""),K183*M183,"")</x:f>
      </x:c>
      <x:c r="U183" s="13" t="str">
        <x:f>IF(AND(ISNUMBER(A183),ISNUMBER(B183),C183&lt;&gt;"",G183&lt;&gt;""),K183*N183,"")</x:f>
      </x:c>
    </x:row>
    <x:row r="184" ht="24" customHeight="1">
      <x:c r="A184" s="10"/>
      <x:c r="B184" s="10"/>
      <x:c r="C184" s="10"/>
      <x:c r="D184" s="11"/>
      <x:c r="E184" s="10"/>
      <x:c r="F184" s="10"/>
      <x:c r="G184" s="10"/>
      <x:c r="H184" s="10"/>
      <x:c r="I184" s="10"/>
      <x:c r="J184" s="9" t="str">
        <x:f>IF(AND(ISNUMBER(A184),ISNUMBER(B184),C184&lt;&gt;"",G184&lt;&gt;""),IF(F184="MULTIPLE PACK",H184*I184,H184),"")</x:f>
      </x:c>
      <x:c r="K184" s="9" t="str">
        <x:f>IF(AND(ISNUMBER(A184),ISNUMBER(B184),C184&lt;&gt;"",G184&lt;&gt;""),IF(COUNTIFS($A$7:A184,A184,$B$7:B184,B184,$C$7:C184,C184,$D$7:D184,D184)=1,B184-A184+1,0),"")</x:f>
      </x:c>
      <x:c r="L184" s="9" t="str">
        <x:f>IF(AND(ISNUMBER(A184),ISNUMBER(B184),C184&lt;&gt;"",G184&lt;&gt;""),(B184-A184+1)*J184,"")</x:f>
      </x:c>
      <x:c r="M184" s="12"/>
      <x:c r="N184" s="12"/>
      <x:c r="O184" s="12"/>
      <x:c r="P184" s="12"/>
      <x:c r="Q184" s="12"/>
      <x:c r="R184" s="13" t="str">
        <x:f>IF(AND(ISNUMBER(A184),ISNUMBER(B184),C184&lt;&gt;"",G184&lt;&gt;""),O184*P184*Q184/1000000,"")</x:f>
      </x:c>
      <x:c r="S184" s="13" t="str">
        <x:f>IF(AND(ISNUMBER(A184),ISNUMBER(B184),C184&lt;&gt;"",G184&lt;&gt;""),K184*R184,"")</x:f>
      </x:c>
      <x:c r="T184" s="13" t="str">
        <x:f>IF(AND(ISNUMBER(A184),ISNUMBER(B184),C184&lt;&gt;"",G184&lt;&gt;""),K184*M184,"")</x:f>
      </x:c>
      <x:c r="U184" s="13" t="str">
        <x:f>IF(AND(ISNUMBER(A184),ISNUMBER(B184),C184&lt;&gt;"",G184&lt;&gt;""),K184*N184,"")</x:f>
      </x:c>
    </x:row>
    <x:row r="185" ht="24" customHeight="1">
      <x:c r="A185" s="10"/>
      <x:c r="B185" s="10"/>
      <x:c r="C185" s="10"/>
      <x:c r="D185" s="11"/>
      <x:c r="E185" s="10"/>
      <x:c r="F185" s="10"/>
      <x:c r="G185" s="10"/>
      <x:c r="H185" s="10"/>
      <x:c r="I185" s="10"/>
      <x:c r="J185" s="9" t="str">
        <x:f>IF(AND(ISNUMBER(A185),ISNUMBER(B185),C185&lt;&gt;"",G185&lt;&gt;""),IF(F185="MULTIPLE PACK",H185*I185,H185),"")</x:f>
      </x:c>
      <x:c r="K185" s="9" t="str">
        <x:f>IF(AND(ISNUMBER(A185),ISNUMBER(B185),C185&lt;&gt;"",G185&lt;&gt;""),IF(COUNTIFS($A$7:A185,A185,$B$7:B185,B185,$C$7:C185,C185,$D$7:D185,D185)=1,B185-A185+1,0),"")</x:f>
      </x:c>
      <x:c r="L185" s="9" t="str">
        <x:f>IF(AND(ISNUMBER(A185),ISNUMBER(B185),C185&lt;&gt;"",G185&lt;&gt;""),(B185-A185+1)*J185,"")</x:f>
      </x:c>
      <x:c r="M185" s="12"/>
      <x:c r="N185" s="12"/>
      <x:c r="O185" s="12"/>
      <x:c r="P185" s="12"/>
      <x:c r="Q185" s="12"/>
      <x:c r="R185" s="13" t="str">
        <x:f>IF(AND(ISNUMBER(A185),ISNUMBER(B185),C185&lt;&gt;"",G185&lt;&gt;""),O185*P185*Q185/1000000,"")</x:f>
      </x:c>
      <x:c r="S185" s="13" t="str">
        <x:f>IF(AND(ISNUMBER(A185),ISNUMBER(B185),C185&lt;&gt;"",G185&lt;&gt;""),K185*R185,"")</x:f>
      </x:c>
      <x:c r="T185" s="13" t="str">
        <x:f>IF(AND(ISNUMBER(A185),ISNUMBER(B185),C185&lt;&gt;"",G185&lt;&gt;""),K185*M185,"")</x:f>
      </x:c>
      <x:c r="U185" s="13" t="str">
        <x:f>IF(AND(ISNUMBER(A185),ISNUMBER(B185),C185&lt;&gt;"",G185&lt;&gt;""),K185*N185,"")</x:f>
      </x:c>
    </x:row>
    <x:row r="186" ht="24" customHeight="1">
      <x:c r="A186" s="10"/>
      <x:c r="B186" s="10"/>
      <x:c r="C186" s="10"/>
      <x:c r="D186" s="11"/>
      <x:c r="E186" s="10"/>
      <x:c r="F186" s="10"/>
      <x:c r="G186" s="10"/>
      <x:c r="H186" s="10"/>
      <x:c r="I186" s="10"/>
      <x:c r="J186" s="9" t="str">
        <x:f>IF(AND(ISNUMBER(A186),ISNUMBER(B186),C186&lt;&gt;"",G186&lt;&gt;""),IF(F186="MULTIPLE PACK",H186*I186,H186),"")</x:f>
      </x:c>
      <x:c r="K186" s="9" t="str">
        <x:f>IF(AND(ISNUMBER(A186),ISNUMBER(B186),C186&lt;&gt;"",G186&lt;&gt;""),IF(COUNTIFS($A$7:A186,A186,$B$7:B186,B186,$C$7:C186,C186,$D$7:D186,D186)=1,B186-A186+1,0),"")</x:f>
      </x:c>
      <x:c r="L186" s="9" t="str">
        <x:f>IF(AND(ISNUMBER(A186),ISNUMBER(B186),C186&lt;&gt;"",G186&lt;&gt;""),(B186-A186+1)*J186,"")</x:f>
      </x:c>
      <x:c r="M186" s="12"/>
      <x:c r="N186" s="12"/>
      <x:c r="O186" s="12"/>
      <x:c r="P186" s="12"/>
      <x:c r="Q186" s="12"/>
      <x:c r="R186" s="13" t="str">
        <x:f>IF(AND(ISNUMBER(A186),ISNUMBER(B186),C186&lt;&gt;"",G186&lt;&gt;""),O186*P186*Q186/1000000,"")</x:f>
      </x:c>
      <x:c r="S186" s="13" t="str">
        <x:f>IF(AND(ISNUMBER(A186),ISNUMBER(B186),C186&lt;&gt;"",G186&lt;&gt;""),K186*R186,"")</x:f>
      </x:c>
      <x:c r="T186" s="13" t="str">
        <x:f>IF(AND(ISNUMBER(A186),ISNUMBER(B186),C186&lt;&gt;"",G186&lt;&gt;""),K186*M186,"")</x:f>
      </x:c>
      <x:c r="U186" s="13" t="str">
        <x:f>IF(AND(ISNUMBER(A186),ISNUMBER(B186),C186&lt;&gt;"",G186&lt;&gt;""),K186*N186,"")</x:f>
      </x:c>
    </x:row>
    <x:row r="187" ht="24" customHeight="1">
      <x:c r="A187" s="10"/>
      <x:c r="B187" s="10"/>
      <x:c r="C187" s="10"/>
      <x:c r="D187" s="11"/>
      <x:c r="E187" s="10"/>
      <x:c r="F187" s="10"/>
      <x:c r="G187" s="10"/>
      <x:c r="H187" s="10"/>
      <x:c r="I187" s="10"/>
      <x:c r="J187" s="9" t="str">
        <x:f>IF(AND(ISNUMBER(A187),ISNUMBER(B187),C187&lt;&gt;"",G187&lt;&gt;""),IF(F187="MULTIPLE PACK",H187*I187,H187),"")</x:f>
      </x:c>
      <x:c r="K187" s="9" t="str">
        <x:f>IF(AND(ISNUMBER(A187),ISNUMBER(B187),C187&lt;&gt;"",G187&lt;&gt;""),IF(COUNTIFS($A$7:A187,A187,$B$7:B187,B187,$C$7:C187,C187,$D$7:D187,D187)=1,B187-A187+1,0),"")</x:f>
      </x:c>
      <x:c r="L187" s="9" t="str">
        <x:f>IF(AND(ISNUMBER(A187),ISNUMBER(B187),C187&lt;&gt;"",G187&lt;&gt;""),(B187-A187+1)*J187,"")</x:f>
      </x:c>
      <x:c r="M187" s="12"/>
      <x:c r="N187" s="12"/>
      <x:c r="O187" s="12"/>
      <x:c r="P187" s="12"/>
      <x:c r="Q187" s="12"/>
      <x:c r="R187" s="13" t="str">
        <x:f>IF(AND(ISNUMBER(A187),ISNUMBER(B187),C187&lt;&gt;"",G187&lt;&gt;""),O187*P187*Q187/1000000,"")</x:f>
      </x:c>
      <x:c r="S187" s="13" t="str">
        <x:f>IF(AND(ISNUMBER(A187),ISNUMBER(B187),C187&lt;&gt;"",G187&lt;&gt;""),K187*R187,"")</x:f>
      </x:c>
      <x:c r="T187" s="13" t="str">
        <x:f>IF(AND(ISNUMBER(A187),ISNUMBER(B187),C187&lt;&gt;"",G187&lt;&gt;""),K187*M187,"")</x:f>
      </x:c>
      <x:c r="U187" s="13" t="str">
        <x:f>IF(AND(ISNUMBER(A187),ISNUMBER(B187),C187&lt;&gt;"",G187&lt;&gt;""),K187*N187,"")</x:f>
      </x:c>
    </x:row>
    <x:row r="188" ht="24" customHeight="1">
      <x:c r="A188" s="10"/>
      <x:c r="B188" s="10"/>
      <x:c r="C188" s="10"/>
      <x:c r="D188" s="11"/>
      <x:c r="E188" s="10"/>
      <x:c r="F188" s="10"/>
      <x:c r="G188" s="10"/>
      <x:c r="H188" s="10"/>
      <x:c r="I188" s="10"/>
      <x:c r="J188" s="9" t="str">
        <x:f>IF(AND(ISNUMBER(A188),ISNUMBER(B188),C188&lt;&gt;"",G188&lt;&gt;""),IF(F188="MULTIPLE PACK",H188*I188,H188),"")</x:f>
      </x:c>
      <x:c r="K188" s="9" t="str">
        <x:f>IF(AND(ISNUMBER(A188),ISNUMBER(B188),C188&lt;&gt;"",G188&lt;&gt;""),IF(COUNTIFS($A$7:A188,A188,$B$7:B188,B188,$C$7:C188,C188,$D$7:D188,D188)=1,B188-A188+1,0),"")</x:f>
      </x:c>
      <x:c r="L188" s="9" t="str">
        <x:f>IF(AND(ISNUMBER(A188),ISNUMBER(B188),C188&lt;&gt;"",G188&lt;&gt;""),(B188-A188+1)*J188,"")</x:f>
      </x:c>
      <x:c r="M188" s="12"/>
      <x:c r="N188" s="12"/>
      <x:c r="O188" s="12"/>
      <x:c r="P188" s="12"/>
      <x:c r="Q188" s="12"/>
      <x:c r="R188" s="13" t="str">
        <x:f>IF(AND(ISNUMBER(A188),ISNUMBER(B188),C188&lt;&gt;"",G188&lt;&gt;""),O188*P188*Q188/1000000,"")</x:f>
      </x:c>
      <x:c r="S188" s="13" t="str">
        <x:f>IF(AND(ISNUMBER(A188),ISNUMBER(B188),C188&lt;&gt;"",G188&lt;&gt;""),K188*R188,"")</x:f>
      </x:c>
      <x:c r="T188" s="13" t="str">
        <x:f>IF(AND(ISNUMBER(A188),ISNUMBER(B188),C188&lt;&gt;"",G188&lt;&gt;""),K188*M188,"")</x:f>
      </x:c>
      <x:c r="U188" s="13" t="str">
        <x:f>IF(AND(ISNUMBER(A188),ISNUMBER(B188),C188&lt;&gt;"",G188&lt;&gt;""),K188*N188,"")</x:f>
      </x:c>
    </x:row>
    <x:row r="189" ht="24" customHeight="1">
      <x:c r="A189" s="10"/>
      <x:c r="B189" s="10"/>
      <x:c r="C189" s="10"/>
      <x:c r="D189" s="11"/>
      <x:c r="E189" s="10"/>
      <x:c r="F189" s="10"/>
      <x:c r="G189" s="10"/>
      <x:c r="H189" s="10"/>
      <x:c r="I189" s="10"/>
      <x:c r="J189" s="9" t="str">
        <x:f>IF(AND(ISNUMBER(A189),ISNUMBER(B189),C189&lt;&gt;"",G189&lt;&gt;""),IF(F189="MULTIPLE PACK",H189*I189,H189),"")</x:f>
      </x:c>
      <x:c r="K189" s="9" t="str">
        <x:f>IF(AND(ISNUMBER(A189),ISNUMBER(B189),C189&lt;&gt;"",G189&lt;&gt;""),IF(COUNTIFS($A$7:A189,A189,$B$7:B189,B189,$C$7:C189,C189,$D$7:D189,D189)=1,B189-A189+1,0),"")</x:f>
      </x:c>
      <x:c r="L189" s="9" t="str">
        <x:f>IF(AND(ISNUMBER(A189),ISNUMBER(B189),C189&lt;&gt;"",G189&lt;&gt;""),(B189-A189+1)*J189,"")</x:f>
      </x:c>
      <x:c r="M189" s="12"/>
      <x:c r="N189" s="12"/>
      <x:c r="O189" s="12"/>
      <x:c r="P189" s="12"/>
      <x:c r="Q189" s="12"/>
      <x:c r="R189" s="13" t="str">
        <x:f>IF(AND(ISNUMBER(A189),ISNUMBER(B189),C189&lt;&gt;"",G189&lt;&gt;""),O189*P189*Q189/1000000,"")</x:f>
      </x:c>
      <x:c r="S189" s="13" t="str">
        <x:f>IF(AND(ISNUMBER(A189),ISNUMBER(B189),C189&lt;&gt;"",G189&lt;&gt;""),K189*R189,"")</x:f>
      </x:c>
      <x:c r="T189" s="13" t="str">
        <x:f>IF(AND(ISNUMBER(A189),ISNUMBER(B189),C189&lt;&gt;"",G189&lt;&gt;""),K189*M189,"")</x:f>
      </x:c>
      <x:c r="U189" s="13" t="str">
        <x:f>IF(AND(ISNUMBER(A189),ISNUMBER(B189),C189&lt;&gt;"",G189&lt;&gt;""),K189*N189,"")</x:f>
      </x:c>
    </x:row>
    <x:row r="190" ht="24" customHeight="1">
      <x:c r="A190" s="10"/>
      <x:c r="B190" s="10"/>
      <x:c r="C190" s="10"/>
      <x:c r="D190" s="11"/>
      <x:c r="E190" s="10"/>
      <x:c r="F190" s="10"/>
      <x:c r="G190" s="10"/>
      <x:c r="H190" s="10"/>
      <x:c r="I190" s="10"/>
      <x:c r="J190" s="9" t="str">
        <x:f>IF(AND(ISNUMBER(A190),ISNUMBER(B190),C190&lt;&gt;"",G190&lt;&gt;""),IF(F190="MULTIPLE PACK",H190*I190,H190),"")</x:f>
      </x:c>
      <x:c r="K190" s="9" t="str">
        <x:f>IF(AND(ISNUMBER(A190),ISNUMBER(B190),C190&lt;&gt;"",G190&lt;&gt;""),IF(COUNTIFS($A$7:A190,A190,$B$7:B190,B190,$C$7:C190,C190,$D$7:D190,D190)=1,B190-A190+1,0),"")</x:f>
      </x:c>
      <x:c r="L190" s="9" t="str">
        <x:f>IF(AND(ISNUMBER(A190),ISNUMBER(B190),C190&lt;&gt;"",G190&lt;&gt;""),(B190-A190+1)*J190,"")</x:f>
      </x:c>
      <x:c r="M190" s="12"/>
      <x:c r="N190" s="12"/>
      <x:c r="O190" s="12"/>
      <x:c r="P190" s="12"/>
      <x:c r="Q190" s="12"/>
      <x:c r="R190" s="13" t="str">
        <x:f>IF(AND(ISNUMBER(A190),ISNUMBER(B190),C190&lt;&gt;"",G190&lt;&gt;""),O190*P190*Q190/1000000,"")</x:f>
      </x:c>
      <x:c r="S190" s="13" t="str">
        <x:f>IF(AND(ISNUMBER(A190),ISNUMBER(B190),C190&lt;&gt;"",G190&lt;&gt;""),K190*R190,"")</x:f>
      </x:c>
      <x:c r="T190" s="13" t="str">
        <x:f>IF(AND(ISNUMBER(A190),ISNUMBER(B190),C190&lt;&gt;"",G190&lt;&gt;""),K190*M190,"")</x:f>
      </x:c>
      <x:c r="U190" s="13" t="str">
        <x:f>IF(AND(ISNUMBER(A190),ISNUMBER(B190),C190&lt;&gt;"",G190&lt;&gt;""),K190*N190,"")</x:f>
      </x:c>
    </x:row>
    <x:row r="191" ht="24" customHeight="1">
      <x:c r="A191" s="10"/>
      <x:c r="B191" s="10"/>
      <x:c r="C191" s="10"/>
      <x:c r="D191" s="11"/>
      <x:c r="E191" s="10"/>
      <x:c r="F191" s="10"/>
      <x:c r="G191" s="10"/>
      <x:c r="H191" s="10"/>
      <x:c r="I191" s="10"/>
      <x:c r="J191" s="9" t="str">
        <x:f>IF(AND(ISNUMBER(A191),ISNUMBER(B191),C191&lt;&gt;"",G191&lt;&gt;""),IF(F191="MULTIPLE PACK",H191*I191,H191),"")</x:f>
      </x:c>
      <x:c r="K191" s="9" t="str">
        <x:f>IF(AND(ISNUMBER(A191),ISNUMBER(B191),C191&lt;&gt;"",G191&lt;&gt;""),IF(COUNTIFS($A$7:A191,A191,$B$7:B191,B191,$C$7:C191,C191,$D$7:D191,D191)=1,B191-A191+1,0),"")</x:f>
      </x:c>
      <x:c r="L191" s="9" t="str">
        <x:f>IF(AND(ISNUMBER(A191),ISNUMBER(B191),C191&lt;&gt;"",G191&lt;&gt;""),(B191-A191+1)*J191,"")</x:f>
      </x:c>
      <x:c r="M191" s="12"/>
      <x:c r="N191" s="12"/>
      <x:c r="O191" s="12"/>
      <x:c r="P191" s="12"/>
      <x:c r="Q191" s="12"/>
      <x:c r="R191" s="13" t="str">
        <x:f>IF(AND(ISNUMBER(A191),ISNUMBER(B191),C191&lt;&gt;"",G191&lt;&gt;""),O191*P191*Q191/1000000,"")</x:f>
      </x:c>
      <x:c r="S191" s="13" t="str">
        <x:f>IF(AND(ISNUMBER(A191),ISNUMBER(B191),C191&lt;&gt;"",G191&lt;&gt;""),K191*R191,"")</x:f>
      </x:c>
      <x:c r="T191" s="13" t="str">
        <x:f>IF(AND(ISNUMBER(A191),ISNUMBER(B191),C191&lt;&gt;"",G191&lt;&gt;""),K191*M191,"")</x:f>
      </x:c>
      <x:c r="U191" s="13" t="str">
        <x:f>IF(AND(ISNUMBER(A191),ISNUMBER(B191),C191&lt;&gt;"",G191&lt;&gt;""),K191*N191,"")</x:f>
      </x:c>
    </x:row>
    <x:row r="192" ht="24" customHeight="1">
      <x:c r="A192" s="10"/>
      <x:c r="B192" s="10"/>
      <x:c r="C192" s="10"/>
      <x:c r="D192" s="11"/>
      <x:c r="E192" s="10"/>
      <x:c r="F192" s="10"/>
      <x:c r="G192" s="10"/>
      <x:c r="H192" s="10"/>
      <x:c r="I192" s="10"/>
      <x:c r="J192" s="9" t="str">
        <x:f>IF(AND(ISNUMBER(A192),ISNUMBER(B192),C192&lt;&gt;"",G192&lt;&gt;""),IF(F192="MULTIPLE PACK",H192*I192,H192),"")</x:f>
      </x:c>
      <x:c r="K192" s="9" t="str">
        <x:f>IF(AND(ISNUMBER(A192),ISNUMBER(B192),C192&lt;&gt;"",G192&lt;&gt;""),IF(COUNTIFS($A$7:A192,A192,$B$7:B192,B192,$C$7:C192,C192,$D$7:D192,D192)=1,B192-A192+1,0),"")</x:f>
      </x:c>
      <x:c r="L192" s="9" t="str">
        <x:f>IF(AND(ISNUMBER(A192),ISNUMBER(B192),C192&lt;&gt;"",G192&lt;&gt;""),(B192-A192+1)*J192,"")</x:f>
      </x:c>
      <x:c r="M192" s="12"/>
      <x:c r="N192" s="12"/>
      <x:c r="O192" s="12"/>
      <x:c r="P192" s="12"/>
      <x:c r="Q192" s="12"/>
      <x:c r="R192" s="13" t="str">
        <x:f>IF(AND(ISNUMBER(A192),ISNUMBER(B192),C192&lt;&gt;"",G192&lt;&gt;""),O192*P192*Q192/1000000,"")</x:f>
      </x:c>
      <x:c r="S192" s="13" t="str">
        <x:f>IF(AND(ISNUMBER(A192),ISNUMBER(B192),C192&lt;&gt;"",G192&lt;&gt;""),K192*R192,"")</x:f>
      </x:c>
      <x:c r="T192" s="13" t="str">
        <x:f>IF(AND(ISNUMBER(A192),ISNUMBER(B192),C192&lt;&gt;"",G192&lt;&gt;""),K192*M192,"")</x:f>
      </x:c>
      <x:c r="U192" s="13" t="str">
        <x:f>IF(AND(ISNUMBER(A192),ISNUMBER(B192),C192&lt;&gt;"",G192&lt;&gt;""),K192*N192,"")</x:f>
      </x:c>
    </x:row>
    <x:row r="193" ht="24" customHeight="1">
      <x:c r="A193" s="10"/>
      <x:c r="B193" s="10"/>
      <x:c r="C193" s="10"/>
      <x:c r="D193" s="11"/>
      <x:c r="E193" s="10"/>
      <x:c r="F193" s="10"/>
      <x:c r="G193" s="10"/>
      <x:c r="H193" s="10"/>
      <x:c r="I193" s="10"/>
      <x:c r="J193" s="9" t="str">
        <x:f>IF(AND(ISNUMBER(A193),ISNUMBER(B193),C193&lt;&gt;"",G193&lt;&gt;""),IF(F193="MULTIPLE PACK",H193*I193,H193),"")</x:f>
      </x:c>
      <x:c r="K193" s="9" t="str">
        <x:f>IF(AND(ISNUMBER(A193),ISNUMBER(B193),C193&lt;&gt;"",G193&lt;&gt;""),IF(COUNTIFS($A$7:A193,A193,$B$7:B193,B193,$C$7:C193,C193,$D$7:D193,D193)=1,B193-A193+1,0),"")</x:f>
      </x:c>
      <x:c r="L193" s="9" t="str">
        <x:f>IF(AND(ISNUMBER(A193),ISNUMBER(B193),C193&lt;&gt;"",G193&lt;&gt;""),(B193-A193+1)*J193,"")</x:f>
      </x:c>
      <x:c r="M193" s="12"/>
      <x:c r="N193" s="12"/>
      <x:c r="O193" s="12"/>
      <x:c r="P193" s="12"/>
      <x:c r="Q193" s="12"/>
      <x:c r="R193" s="13" t="str">
        <x:f>IF(AND(ISNUMBER(A193),ISNUMBER(B193),C193&lt;&gt;"",G193&lt;&gt;""),O193*P193*Q193/1000000,"")</x:f>
      </x:c>
      <x:c r="S193" s="13" t="str">
        <x:f>IF(AND(ISNUMBER(A193),ISNUMBER(B193),C193&lt;&gt;"",G193&lt;&gt;""),K193*R193,"")</x:f>
      </x:c>
      <x:c r="T193" s="13" t="str">
        <x:f>IF(AND(ISNUMBER(A193),ISNUMBER(B193),C193&lt;&gt;"",G193&lt;&gt;""),K193*M193,"")</x:f>
      </x:c>
      <x:c r="U193" s="13" t="str">
        <x:f>IF(AND(ISNUMBER(A193),ISNUMBER(B193),C193&lt;&gt;"",G193&lt;&gt;""),K193*N193,"")</x:f>
      </x:c>
    </x:row>
    <x:row r="194" ht="24" customHeight="1">
      <x:c r="A194" s="10"/>
      <x:c r="B194" s="10"/>
      <x:c r="C194" s="10"/>
      <x:c r="D194" s="11"/>
      <x:c r="E194" s="10"/>
      <x:c r="F194" s="10"/>
      <x:c r="G194" s="10"/>
      <x:c r="H194" s="10"/>
      <x:c r="I194" s="10"/>
      <x:c r="J194" s="9" t="str">
        <x:f>IF(AND(ISNUMBER(A194),ISNUMBER(B194),C194&lt;&gt;"",G194&lt;&gt;""),IF(F194="MULTIPLE PACK",H194*I194,H194),"")</x:f>
      </x:c>
      <x:c r="K194" s="9" t="str">
        <x:f>IF(AND(ISNUMBER(A194),ISNUMBER(B194),C194&lt;&gt;"",G194&lt;&gt;""),IF(COUNTIFS($A$7:A194,A194,$B$7:B194,B194,$C$7:C194,C194,$D$7:D194,D194)=1,B194-A194+1,0),"")</x:f>
      </x:c>
      <x:c r="L194" s="9" t="str">
        <x:f>IF(AND(ISNUMBER(A194),ISNUMBER(B194),C194&lt;&gt;"",G194&lt;&gt;""),(B194-A194+1)*J194,"")</x:f>
      </x:c>
      <x:c r="M194" s="12"/>
      <x:c r="N194" s="12"/>
      <x:c r="O194" s="12"/>
      <x:c r="P194" s="12"/>
      <x:c r="Q194" s="12"/>
      <x:c r="R194" s="13" t="str">
        <x:f>IF(AND(ISNUMBER(A194),ISNUMBER(B194),C194&lt;&gt;"",G194&lt;&gt;""),O194*P194*Q194/1000000,"")</x:f>
      </x:c>
      <x:c r="S194" s="13" t="str">
        <x:f>IF(AND(ISNUMBER(A194),ISNUMBER(B194),C194&lt;&gt;"",G194&lt;&gt;""),K194*R194,"")</x:f>
      </x:c>
      <x:c r="T194" s="13" t="str">
        <x:f>IF(AND(ISNUMBER(A194),ISNUMBER(B194),C194&lt;&gt;"",G194&lt;&gt;""),K194*M194,"")</x:f>
      </x:c>
      <x:c r="U194" s="13" t="str">
        <x:f>IF(AND(ISNUMBER(A194),ISNUMBER(B194),C194&lt;&gt;"",G194&lt;&gt;""),K194*N194,"")</x:f>
      </x:c>
    </x:row>
    <x:row r="195" ht="24" customHeight="1">
      <x:c r="A195" s="10"/>
      <x:c r="B195" s="10"/>
      <x:c r="C195" s="10"/>
      <x:c r="D195" s="11"/>
      <x:c r="E195" s="10"/>
      <x:c r="F195" s="10"/>
      <x:c r="G195" s="10"/>
      <x:c r="H195" s="10"/>
      <x:c r="I195" s="10"/>
      <x:c r="J195" s="9" t="str">
        <x:f>IF(AND(ISNUMBER(A195),ISNUMBER(B195),C195&lt;&gt;"",G195&lt;&gt;""),IF(F195="MULTIPLE PACK",H195*I195,H195),"")</x:f>
      </x:c>
      <x:c r="K195" s="9" t="str">
        <x:f>IF(AND(ISNUMBER(A195),ISNUMBER(B195),C195&lt;&gt;"",G195&lt;&gt;""),IF(COUNTIFS($A$7:A195,A195,$B$7:B195,B195,$C$7:C195,C195,$D$7:D195,D195)=1,B195-A195+1,0),"")</x:f>
      </x:c>
      <x:c r="L195" s="9" t="str">
        <x:f>IF(AND(ISNUMBER(A195),ISNUMBER(B195),C195&lt;&gt;"",G195&lt;&gt;""),(B195-A195+1)*J195,"")</x:f>
      </x:c>
      <x:c r="M195" s="12"/>
      <x:c r="N195" s="12"/>
      <x:c r="O195" s="12"/>
      <x:c r="P195" s="12"/>
      <x:c r="Q195" s="12"/>
      <x:c r="R195" s="13" t="str">
        <x:f>IF(AND(ISNUMBER(A195),ISNUMBER(B195),C195&lt;&gt;"",G195&lt;&gt;""),O195*P195*Q195/1000000,"")</x:f>
      </x:c>
      <x:c r="S195" s="13" t="str">
        <x:f>IF(AND(ISNUMBER(A195),ISNUMBER(B195),C195&lt;&gt;"",G195&lt;&gt;""),K195*R195,"")</x:f>
      </x:c>
      <x:c r="T195" s="13" t="str">
        <x:f>IF(AND(ISNUMBER(A195),ISNUMBER(B195),C195&lt;&gt;"",G195&lt;&gt;""),K195*M195,"")</x:f>
      </x:c>
      <x:c r="U195" s="13" t="str">
        <x:f>IF(AND(ISNUMBER(A195),ISNUMBER(B195),C195&lt;&gt;"",G195&lt;&gt;""),K195*N195,"")</x:f>
      </x:c>
    </x:row>
    <x:row r="196" ht="24" customHeight="1">
      <x:c r="A196" s="10"/>
      <x:c r="B196" s="10"/>
      <x:c r="C196" s="10"/>
      <x:c r="D196" s="11"/>
      <x:c r="E196" s="10"/>
      <x:c r="F196" s="10"/>
      <x:c r="G196" s="10"/>
      <x:c r="H196" s="10"/>
      <x:c r="I196" s="10"/>
      <x:c r="J196" s="9" t="str">
        <x:f>IF(AND(ISNUMBER(A196),ISNUMBER(B196),C196&lt;&gt;"",G196&lt;&gt;""),IF(F196="MULTIPLE PACK",H196*I196,H196),"")</x:f>
      </x:c>
      <x:c r="K196" s="9" t="str">
        <x:f>IF(AND(ISNUMBER(A196),ISNUMBER(B196),C196&lt;&gt;"",G196&lt;&gt;""),IF(COUNTIFS($A$7:A196,A196,$B$7:B196,B196,$C$7:C196,C196,$D$7:D196,D196)=1,B196-A196+1,0),"")</x:f>
      </x:c>
      <x:c r="L196" s="9" t="str">
        <x:f>IF(AND(ISNUMBER(A196),ISNUMBER(B196),C196&lt;&gt;"",G196&lt;&gt;""),(B196-A196+1)*J196,"")</x:f>
      </x:c>
      <x:c r="M196" s="12"/>
      <x:c r="N196" s="12"/>
      <x:c r="O196" s="12"/>
      <x:c r="P196" s="12"/>
      <x:c r="Q196" s="12"/>
      <x:c r="R196" s="13" t="str">
        <x:f>IF(AND(ISNUMBER(A196),ISNUMBER(B196),C196&lt;&gt;"",G196&lt;&gt;""),O196*P196*Q196/1000000,"")</x:f>
      </x:c>
      <x:c r="S196" s="13" t="str">
        <x:f>IF(AND(ISNUMBER(A196),ISNUMBER(B196),C196&lt;&gt;"",G196&lt;&gt;""),K196*R196,"")</x:f>
      </x:c>
      <x:c r="T196" s="13" t="str">
        <x:f>IF(AND(ISNUMBER(A196),ISNUMBER(B196),C196&lt;&gt;"",G196&lt;&gt;""),K196*M196,"")</x:f>
      </x:c>
      <x:c r="U196" s="13" t="str">
        <x:f>IF(AND(ISNUMBER(A196),ISNUMBER(B196),C196&lt;&gt;"",G196&lt;&gt;""),K196*N196,"")</x:f>
      </x:c>
    </x:row>
    <x:row r="197" ht="24" customHeight="1">
      <x:c r="A197" s="10"/>
      <x:c r="B197" s="10"/>
      <x:c r="C197" s="10"/>
      <x:c r="D197" s="11"/>
      <x:c r="E197" s="10"/>
      <x:c r="F197" s="10"/>
      <x:c r="G197" s="10"/>
      <x:c r="H197" s="10"/>
      <x:c r="I197" s="10"/>
      <x:c r="J197" s="9" t="str">
        <x:f>IF(AND(ISNUMBER(A197),ISNUMBER(B197),C197&lt;&gt;"",G197&lt;&gt;""),IF(F197="MULTIPLE PACK",H197*I197,H197),"")</x:f>
      </x:c>
      <x:c r="K197" s="9" t="str">
        <x:f>IF(AND(ISNUMBER(A197),ISNUMBER(B197),C197&lt;&gt;"",G197&lt;&gt;""),IF(COUNTIFS($A$7:A197,A197,$B$7:B197,B197,$C$7:C197,C197,$D$7:D197,D197)=1,B197-A197+1,0),"")</x:f>
      </x:c>
      <x:c r="L197" s="9" t="str">
        <x:f>IF(AND(ISNUMBER(A197),ISNUMBER(B197),C197&lt;&gt;"",G197&lt;&gt;""),(B197-A197+1)*J197,"")</x:f>
      </x:c>
      <x:c r="M197" s="12"/>
      <x:c r="N197" s="12"/>
      <x:c r="O197" s="12"/>
      <x:c r="P197" s="12"/>
      <x:c r="Q197" s="12"/>
      <x:c r="R197" s="13" t="str">
        <x:f>IF(AND(ISNUMBER(A197),ISNUMBER(B197),C197&lt;&gt;"",G197&lt;&gt;""),O197*P197*Q197/1000000,"")</x:f>
      </x:c>
      <x:c r="S197" s="13" t="str">
        <x:f>IF(AND(ISNUMBER(A197),ISNUMBER(B197),C197&lt;&gt;"",G197&lt;&gt;""),K197*R197,"")</x:f>
      </x:c>
      <x:c r="T197" s="13" t="str">
        <x:f>IF(AND(ISNUMBER(A197),ISNUMBER(B197),C197&lt;&gt;"",G197&lt;&gt;""),K197*M197,"")</x:f>
      </x:c>
      <x:c r="U197" s="13" t="str">
        <x:f>IF(AND(ISNUMBER(A197),ISNUMBER(B197),C197&lt;&gt;"",G197&lt;&gt;""),K197*N197,"")</x:f>
      </x:c>
    </x:row>
    <x:row r="198" ht="24" customHeight="1">
      <x:c r="A198" s="10"/>
      <x:c r="B198" s="10"/>
      <x:c r="C198" s="10"/>
      <x:c r="D198" s="11"/>
      <x:c r="E198" s="10"/>
      <x:c r="F198" s="10"/>
      <x:c r="G198" s="10"/>
      <x:c r="H198" s="10"/>
      <x:c r="I198" s="10"/>
      <x:c r="J198" s="9" t="str">
        <x:f>IF(AND(ISNUMBER(A198),ISNUMBER(B198),C198&lt;&gt;"",G198&lt;&gt;""),IF(F198="MULTIPLE PACK",H198*I198,H198),"")</x:f>
      </x:c>
      <x:c r="K198" s="9" t="str">
        <x:f>IF(AND(ISNUMBER(A198),ISNUMBER(B198),C198&lt;&gt;"",G198&lt;&gt;""),IF(COUNTIFS($A$7:A198,A198,$B$7:B198,B198,$C$7:C198,C198,$D$7:D198,D198)=1,B198-A198+1,0),"")</x:f>
      </x:c>
      <x:c r="L198" s="9" t="str">
        <x:f>IF(AND(ISNUMBER(A198),ISNUMBER(B198),C198&lt;&gt;"",G198&lt;&gt;""),(B198-A198+1)*J198,"")</x:f>
      </x:c>
      <x:c r="M198" s="12"/>
      <x:c r="N198" s="12"/>
      <x:c r="O198" s="12"/>
      <x:c r="P198" s="12"/>
      <x:c r="Q198" s="12"/>
      <x:c r="R198" s="13" t="str">
        <x:f>IF(AND(ISNUMBER(A198),ISNUMBER(B198),C198&lt;&gt;"",G198&lt;&gt;""),O198*P198*Q198/1000000,"")</x:f>
      </x:c>
      <x:c r="S198" s="13" t="str">
        <x:f>IF(AND(ISNUMBER(A198),ISNUMBER(B198),C198&lt;&gt;"",G198&lt;&gt;""),K198*R198,"")</x:f>
      </x:c>
      <x:c r="T198" s="13" t="str">
        <x:f>IF(AND(ISNUMBER(A198),ISNUMBER(B198),C198&lt;&gt;"",G198&lt;&gt;""),K198*M198,"")</x:f>
      </x:c>
      <x:c r="U198" s="13" t="str">
        <x:f>IF(AND(ISNUMBER(A198),ISNUMBER(B198),C198&lt;&gt;"",G198&lt;&gt;""),K198*N198,"")</x:f>
      </x:c>
    </x:row>
    <x:row r="199" ht="24" customHeight="1">
      <x:c r="A199" s="10"/>
      <x:c r="B199" s="10"/>
      <x:c r="C199" s="10"/>
      <x:c r="D199" s="11"/>
      <x:c r="E199" s="10"/>
      <x:c r="F199" s="10"/>
      <x:c r="G199" s="10"/>
      <x:c r="H199" s="10"/>
      <x:c r="I199" s="10"/>
      <x:c r="J199" s="9" t="str">
        <x:f>IF(AND(ISNUMBER(A199),ISNUMBER(B199),C199&lt;&gt;"",G199&lt;&gt;""),IF(F199="MULTIPLE PACK",H199*I199,H199),"")</x:f>
      </x:c>
      <x:c r="K199" s="9" t="str">
        <x:f>IF(AND(ISNUMBER(A199),ISNUMBER(B199),C199&lt;&gt;"",G199&lt;&gt;""),IF(COUNTIFS($A$7:A199,A199,$B$7:B199,B199,$C$7:C199,C199,$D$7:D199,D199)=1,B199-A199+1,0),"")</x:f>
      </x:c>
      <x:c r="L199" s="9" t="str">
        <x:f>IF(AND(ISNUMBER(A199),ISNUMBER(B199),C199&lt;&gt;"",G199&lt;&gt;""),(B199-A199+1)*J199,"")</x:f>
      </x:c>
      <x:c r="M199" s="12"/>
      <x:c r="N199" s="12"/>
      <x:c r="O199" s="12"/>
      <x:c r="P199" s="12"/>
      <x:c r="Q199" s="12"/>
      <x:c r="R199" s="13" t="str">
        <x:f>IF(AND(ISNUMBER(A199),ISNUMBER(B199),C199&lt;&gt;"",G199&lt;&gt;""),O199*P199*Q199/1000000,"")</x:f>
      </x:c>
      <x:c r="S199" s="13" t="str">
        <x:f>IF(AND(ISNUMBER(A199),ISNUMBER(B199),C199&lt;&gt;"",G199&lt;&gt;""),K199*R199,"")</x:f>
      </x:c>
      <x:c r="T199" s="13" t="str">
        <x:f>IF(AND(ISNUMBER(A199),ISNUMBER(B199),C199&lt;&gt;"",G199&lt;&gt;""),K199*M199,"")</x:f>
      </x:c>
      <x:c r="U199" s="13" t="str">
        <x:f>IF(AND(ISNUMBER(A199),ISNUMBER(B199),C199&lt;&gt;"",G199&lt;&gt;""),K199*N199,"")</x:f>
      </x:c>
    </x:row>
    <x:row r="200" ht="24" customHeight="1">
      <x:c r="A200" s="10"/>
      <x:c r="B200" s="10"/>
      <x:c r="C200" s="10"/>
      <x:c r="D200" s="11"/>
      <x:c r="E200" s="10"/>
      <x:c r="F200" s="10"/>
      <x:c r="G200" s="10"/>
      <x:c r="H200" s="10"/>
      <x:c r="I200" s="10"/>
      <x:c r="J200" s="9" t="str">
        <x:f>IF(AND(ISNUMBER(A200),ISNUMBER(B200),C200&lt;&gt;"",G200&lt;&gt;""),IF(F200="MULTIPLE PACK",H200*I200,H200),"")</x:f>
      </x:c>
      <x:c r="K200" s="9" t="str">
        <x:f>IF(AND(ISNUMBER(A200),ISNUMBER(B200),C200&lt;&gt;"",G200&lt;&gt;""),IF(COUNTIFS($A$7:A200,A200,$B$7:B200,B200,$C$7:C200,C200,$D$7:D200,D200)=1,B200-A200+1,0),"")</x:f>
      </x:c>
      <x:c r="L200" s="9" t="str">
        <x:f>IF(AND(ISNUMBER(A200),ISNUMBER(B200),C200&lt;&gt;"",G200&lt;&gt;""),(B200-A200+1)*J200,"")</x:f>
      </x:c>
      <x:c r="M200" s="12"/>
      <x:c r="N200" s="12"/>
      <x:c r="O200" s="12"/>
      <x:c r="P200" s="12"/>
      <x:c r="Q200" s="12"/>
      <x:c r="R200" s="13" t="str">
        <x:f>IF(AND(ISNUMBER(A200),ISNUMBER(B200),C200&lt;&gt;"",G200&lt;&gt;""),O200*P200*Q200/1000000,"")</x:f>
      </x:c>
      <x:c r="S200" s="13" t="str">
        <x:f>IF(AND(ISNUMBER(A200),ISNUMBER(B200),C200&lt;&gt;"",G200&lt;&gt;""),K200*R200,"")</x:f>
      </x:c>
      <x:c r="T200" s="13" t="str">
        <x:f>IF(AND(ISNUMBER(A200),ISNUMBER(B200),C200&lt;&gt;"",G200&lt;&gt;""),K200*M200,"")</x:f>
      </x:c>
      <x:c r="U200" s="13" t="str">
        <x:f>IF(AND(ISNUMBER(A200),ISNUMBER(B200),C200&lt;&gt;"",G200&lt;&gt;""),K200*N200,"")</x:f>
      </x:c>
    </x:row>
    <x:row r="201" ht="24" customHeight="1">
      <x:c r="A201" s="10"/>
      <x:c r="B201" s="10"/>
      <x:c r="C201" s="10"/>
      <x:c r="D201" s="11"/>
      <x:c r="E201" s="10"/>
      <x:c r="F201" s="10"/>
      <x:c r="G201" s="10"/>
      <x:c r="H201" s="10"/>
      <x:c r="I201" s="10"/>
      <x:c r="J201" s="9" t="str">
        <x:f>IF(AND(ISNUMBER(A201),ISNUMBER(B201),C201&lt;&gt;"",G201&lt;&gt;""),IF(F201="MULTIPLE PACK",H201*I201,H201),"")</x:f>
      </x:c>
      <x:c r="K201" s="9" t="str">
        <x:f>IF(AND(ISNUMBER(A201),ISNUMBER(B201),C201&lt;&gt;"",G201&lt;&gt;""),IF(COUNTIFS($A$7:A201,A201,$B$7:B201,B201,$C$7:C201,C201,$D$7:D201,D201)=1,B201-A201+1,0),"")</x:f>
      </x:c>
      <x:c r="L201" s="9" t="str">
        <x:f>IF(AND(ISNUMBER(A201),ISNUMBER(B201),C201&lt;&gt;"",G201&lt;&gt;""),(B201-A201+1)*J201,"")</x:f>
      </x:c>
      <x:c r="M201" s="12"/>
      <x:c r="N201" s="12"/>
      <x:c r="O201" s="12"/>
      <x:c r="P201" s="12"/>
      <x:c r="Q201" s="12"/>
      <x:c r="R201" s="13" t="str">
        <x:f>IF(AND(ISNUMBER(A201),ISNUMBER(B201),C201&lt;&gt;"",G201&lt;&gt;""),O201*P201*Q201/1000000,"")</x:f>
      </x:c>
      <x:c r="S201" s="13" t="str">
        <x:f>IF(AND(ISNUMBER(A201),ISNUMBER(B201),C201&lt;&gt;"",G201&lt;&gt;""),K201*R201,"")</x:f>
      </x:c>
      <x:c r="T201" s="13" t="str">
        <x:f>IF(AND(ISNUMBER(A201),ISNUMBER(B201),C201&lt;&gt;"",G201&lt;&gt;""),K201*M201,"")</x:f>
      </x:c>
      <x:c r="U201" s="13" t="str">
        <x:f>IF(AND(ISNUMBER(A201),ISNUMBER(B201),C201&lt;&gt;"",G201&lt;&gt;""),K201*N201,"")</x:f>
      </x:c>
    </x:row>
    <x:row r="202" ht="24" customHeight="1">
      <x:c r="A202" s="10"/>
      <x:c r="B202" s="10"/>
      <x:c r="C202" s="10"/>
      <x:c r="D202" s="11"/>
      <x:c r="E202" s="10"/>
      <x:c r="F202" s="10"/>
      <x:c r="G202" s="10"/>
      <x:c r="H202" s="10"/>
      <x:c r="I202" s="10"/>
      <x:c r="J202" s="9" t="str">
        <x:f>IF(AND(ISNUMBER(A202),ISNUMBER(B202),C202&lt;&gt;"",G202&lt;&gt;""),IF(F202="MULTIPLE PACK",H202*I202,H202),"")</x:f>
      </x:c>
      <x:c r="K202" s="9" t="str">
        <x:f>IF(AND(ISNUMBER(A202),ISNUMBER(B202),C202&lt;&gt;"",G202&lt;&gt;""),IF(COUNTIFS($A$7:A202,A202,$B$7:B202,B202,$C$7:C202,C202,$D$7:D202,D202)=1,B202-A202+1,0),"")</x:f>
      </x:c>
      <x:c r="L202" s="9" t="str">
        <x:f>IF(AND(ISNUMBER(A202),ISNUMBER(B202),C202&lt;&gt;"",G202&lt;&gt;""),(B202-A202+1)*J202,"")</x:f>
      </x:c>
      <x:c r="M202" s="12"/>
      <x:c r="N202" s="12"/>
      <x:c r="O202" s="12"/>
      <x:c r="P202" s="12"/>
      <x:c r="Q202" s="12"/>
      <x:c r="R202" s="13" t="str">
        <x:f>IF(AND(ISNUMBER(A202),ISNUMBER(B202),C202&lt;&gt;"",G202&lt;&gt;""),O202*P202*Q202/1000000,"")</x:f>
      </x:c>
      <x:c r="S202" s="13" t="str">
        <x:f>IF(AND(ISNUMBER(A202),ISNUMBER(B202),C202&lt;&gt;"",G202&lt;&gt;""),K202*R202,"")</x:f>
      </x:c>
      <x:c r="T202" s="13" t="str">
        <x:f>IF(AND(ISNUMBER(A202),ISNUMBER(B202),C202&lt;&gt;"",G202&lt;&gt;""),K202*M202,"")</x:f>
      </x:c>
      <x:c r="U202" s="13" t="str">
        <x:f>IF(AND(ISNUMBER(A202),ISNUMBER(B202),C202&lt;&gt;"",G202&lt;&gt;""),K202*N202,"")</x:f>
      </x:c>
    </x:row>
    <x:row r="203" ht="24" customHeight="1">
      <x:c r="A203" s="10"/>
      <x:c r="B203" s="10"/>
      <x:c r="C203" s="10"/>
      <x:c r="D203" s="11"/>
      <x:c r="E203" s="10"/>
      <x:c r="F203" s="10"/>
      <x:c r="G203" s="10"/>
      <x:c r="H203" s="10"/>
      <x:c r="I203" s="10"/>
      <x:c r="J203" s="9" t="str">
        <x:f>IF(AND(ISNUMBER(A203),ISNUMBER(B203),C203&lt;&gt;"",G203&lt;&gt;""),IF(F203="MULTIPLE PACK",H203*I203,H203),"")</x:f>
      </x:c>
      <x:c r="K203" s="9" t="str">
        <x:f>IF(AND(ISNUMBER(A203),ISNUMBER(B203),C203&lt;&gt;"",G203&lt;&gt;""),IF(COUNTIFS($A$7:A203,A203,$B$7:B203,B203,$C$7:C203,C203,$D$7:D203,D203)=1,B203-A203+1,0),"")</x:f>
      </x:c>
      <x:c r="L203" s="9" t="str">
        <x:f>IF(AND(ISNUMBER(A203),ISNUMBER(B203),C203&lt;&gt;"",G203&lt;&gt;""),(B203-A203+1)*J203,"")</x:f>
      </x:c>
      <x:c r="M203" s="12"/>
      <x:c r="N203" s="12"/>
      <x:c r="O203" s="12"/>
      <x:c r="P203" s="12"/>
      <x:c r="Q203" s="12"/>
      <x:c r="R203" s="13" t="str">
        <x:f>IF(AND(ISNUMBER(A203),ISNUMBER(B203),C203&lt;&gt;"",G203&lt;&gt;""),O203*P203*Q203/1000000,"")</x:f>
      </x:c>
      <x:c r="S203" s="13" t="str">
        <x:f>IF(AND(ISNUMBER(A203),ISNUMBER(B203),C203&lt;&gt;"",G203&lt;&gt;""),K203*R203,"")</x:f>
      </x:c>
      <x:c r="T203" s="13" t="str">
        <x:f>IF(AND(ISNUMBER(A203),ISNUMBER(B203),C203&lt;&gt;"",G203&lt;&gt;""),K203*M203,"")</x:f>
      </x:c>
      <x:c r="U203" s="13" t="str">
        <x:f>IF(AND(ISNUMBER(A203),ISNUMBER(B203),C203&lt;&gt;"",G203&lt;&gt;""),K203*N203,"")</x:f>
      </x:c>
    </x:row>
    <x:row r="204" ht="24" customHeight="1">
      <x:c r="A204" s="10"/>
      <x:c r="B204" s="10"/>
      <x:c r="C204" s="10"/>
      <x:c r="D204" s="11"/>
      <x:c r="E204" s="10"/>
      <x:c r="F204" s="10"/>
      <x:c r="G204" s="10"/>
      <x:c r="H204" s="10"/>
      <x:c r="I204" s="10"/>
      <x:c r="J204" s="9" t="str">
        <x:f>IF(AND(ISNUMBER(A204),ISNUMBER(B204),C204&lt;&gt;"",G204&lt;&gt;""),IF(F204="MULTIPLE PACK",H204*I204,H204),"")</x:f>
      </x:c>
      <x:c r="K204" s="9" t="str">
        <x:f>IF(AND(ISNUMBER(A204),ISNUMBER(B204),C204&lt;&gt;"",G204&lt;&gt;""),IF(COUNTIFS($A$7:A204,A204,$B$7:B204,B204,$C$7:C204,C204,$D$7:D204,D204)=1,B204-A204+1,0),"")</x:f>
      </x:c>
      <x:c r="L204" s="9" t="str">
        <x:f>IF(AND(ISNUMBER(A204),ISNUMBER(B204),C204&lt;&gt;"",G204&lt;&gt;""),(B204-A204+1)*J204,"")</x:f>
      </x:c>
      <x:c r="M204" s="12"/>
      <x:c r="N204" s="12"/>
      <x:c r="O204" s="12"/>
      <x:c r="P204" s="12"/>
      <x:c r="Q204" s="12"/>
      <x:c r="R204" s="13" t="str">
        <x:f>IF(AND(ISNUMBER(A204),ISNUMBER(B204),C204&lt;&gt;"",G204&lt;&gt;""),O204*P204*Q204/1000000,"")</x:f>
      </x:c>
      <x:c r="S204" s="13" t="str">
        <x:f>IF(AND(ISNUMBER(A204),ISNUMBER(B204),C204&lt;&gt;"",G204&lt;&gt;""),K204*R204,"")</x:f>
      </x:c>
      <x:c r="T204" s="13" t="str">
        <x:f>IF(AND(ISNUMBER(A204),ISNUMBER(B204),C204&lt;&gt;"",G204&lt;&gt;""),K204*M204,"")</x:f>
      </x:c>
      <x:c r="U204" s="13" t="str">
        <x:f>IF(AND(ISNUMBER(A204),ISNUMBER(B204),C204&lt;&gt;"",G204&lt;&gt;""),K204*N204,"")</x:f>
      </x:c>
    </x:row>
    <x:row r="205" ht="24" customHeight="1">
      <x:c r="A205" s="10"/>
      <x:c r="B205" s="10"/>
      <x:c r="C205" s="10"/>
      <x:c r="D205" s="11"/>
      <x:c r="E205" s="10"/>
      <x:c r="F205" s="10"/>
      <x:c r="G205" s="10"/>
      <x:c r="H205" s="10"/>
      <x:c r="I205" s="10"/>
      <x:c r="J205" s="9" t="str">
        <x:f>IF(AND(ISNUMBER(A205),ISNUMBER(B205),C205&lt;&gt;"",G205&lt;&gt;""),IF(F205="MULTIPLE PACK",H205*I205,H205),"")</x:f>
      </x:c>
      <x:c r="K205" s="9" t="str">
        <x:f>IF(AND(ISNUMBER(A205),ISNUMBER(B205),C205&lt;&gt;"",G205&lt;&gt;""),IF(COUNTIFS($A$7:A205,A205,$B$7:B205,B205,$C$7:C205,C205,$D$7:D205,D205)=1,B205-A205+1,0),"")</x:f>
      </x:c>
      <x:c r="L205" s="9" t="str">
        <x:f>IF(AND(ISNUMBER(A205),ISNUMBER(B205),C205&lt;&gt;"",G205&lt;&gt;""),(B205-A205+1)*J205,"")</x:f>
      </x:c>
      <x:c r="M205" s="12"/>
      <x:c r="N205" s="12"/>
      <x:c r="O205" s="12"/>
      <x:c r="P205" s="12"/>
      <x:c r="Q205" s="12"/>
      <x:c r="R205" s="13" t="str">
        <x:f>IF(AND(ISNUMBER(A205),ISNUMBER(B205),C205&lt;&gt;"",G205&lt;&gt;""),O205*P205*Q205/1000000,"")</x:f>
      </x:c>
      <x:c r="S205" s="13" t="str">
        <x:f>IF(AND(ISNUMBER(A205),ISNUMBER(B205),C205&lt;&gt;"",G205&lt;&gt;""),K205*R205,"")</x:f>
      </x:c>
      <x:c r="T205" s="13" t="str">
        <x:f>IF(AND(ISNUMBER(A205),ISNUMBER(B205),C205&lt;&gt;"",G205&lt;&gt;""),K205*M205,"")</x:f>
      </x:c>
      <x:c r="U205" s="13" t="str">
        <x:f>IF(AND(ISNUMBER(A205),ISNUMBER(B205),C205&lt;&gt;"",G205&lt;&gt;""),K205*N205,"")</x:f>
      </x:c>
    </x:row>
    <x:row r="206" ht="24" customHeight="1">
      <x:c r="A206" s="10"/>
      <x:c r="B206" s="10"/>
      <x:c r="C206" s="10"/>
      <x:c r="D206" s="11"/>
      <x:c r="E206" s="10"/>
      <x:c r="F206" s="10"/>
      <x:c r="G206" s="10"/>
      <x:c r="H206" s="10"/>
      <x:c r="I206" s="10"/>
      <x:c r="J206" s="9" t="str">
        <x:f>IF(AND(ISNUMBER(A206),ISNUMBER(B206),C206&lt;&gt;"",G206&lt;&gt;""),IF(F206="MULTIPLE PACK",H206*I206,H206),"")</x:f>
      </x:c>
      <x:c r="K206" s="9" t="str">
        <x:f>IF(AND(ISNUMBER(A206),ISNUMBER(B206),C206&lt;&gt;"",G206&lt;&gt;""),IF(COUNTIFS($A$7:A206,A206,$B$7:B206,B206,$C$7:C206,C206,$D$7:D206,D206)=1,B206-A206+1,0),"")</x:f>
      </x:c>
      <x:c r="L206" s="9" t="str">
        <x:f>IF(AND(ISNUMBER(A206),ISNUMBER(B206),C206&lt;&gt;"",G206&lt;&gt;""),(B206-A206+1)*J206,"")</x:f>
      </x:c>
      <x:c r="M206" s="12"/>
      <x:c r="N206" s="12"/>
      <x:c r="O206" s="12"/>
      <x:c r="P206" s="12"/>
      <x:c r="Q206" s="12"/>
      <x:c r="R206" s="13" t="str">
        <x:f>IF(AND(ISNUMBER(A206),ISNUMBER(B206),C206&lt;&gt;"",G206&lt;&gt;""),O206*P206*Q206/1000000,"")</x:f>
      </x:c>
      <x:c r="S206" s="13" t="str">
        <x:f>IF(AND(ISNUMBER(A206),ISNUMBER(B206),C206&lt;&gt;"",G206&lt;&gt;""),K206*R206,"")</x:f>
      </x:c>
      <x:c r="T206" s="13" t="str">
        <x:f>IF(AND(ISNUMBER(A206),ISNUMBER(B206),C206&lt;&gt;"",G206&lt;&gt;""),K206*M206,"")</x:f>
      </x:c>
      <x:c r="U206" s="13" t="str">
        <x:f>IF(AND(ISNUMBER(A206),ISNUMBER(B206),C206&lt;&gt;"",G206&lt;&gt;""),K206*N206,"")</x:f>
      </x:c>
    </x:row>
  </x:sheetData>
  <x:mergeCells>
    <x:mergeCell ref="A1:U1"/>
    <x:mergeCell ref="A2:U2"/>
    <x:mergeCell ref="A3:U3"/>
  </x:mergeCells>
  <x:pageMargins left="0.7" right="0.7" top="0.75" bottom="0.75" header="0.3" footer="0.3"/>
</x:worksheet>
</file>